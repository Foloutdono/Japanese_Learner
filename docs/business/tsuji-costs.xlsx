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Start-up costs" sheetId="3" state="visible" r:id="rId5"/>
    <sheet name="Fixed costs" sheetId="4" state="visible" r:id="rId6"/>
    <sheet name="Unit economics" sheetId="5" state="visible" r:id="rId7"/>
    <sheet name="Projection" sheetId="6" state="visible" r:id="rId8"/>
    <sheet name="Offer review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<sst xmlns="http://schemas.openxmlformats.org/spreadsheetml/2006/main" count="501" uniqueCount="352">
  <si>
    <t xml:space="preserve">Tsuji — cost overview</t>
  </si>
  <si>
    <t xml:space="preserve">All figures in €. Green = pulled from another sheet. Change the inputs in 'Assumptions', 'Start-up costs', 'Fixed costs' and row 5 of 'Projection'.</t>
  </si>
  <si>
    <t xml:space="preserve">To start (one-off)</t>
  </si>
  <si>
    <t xml:space="preserve">Start-up costs – required items, expected</t>
  </si>
  <si>
    <t xml:space="preserve">Start-up costs – including optional items (SRL, EU trademark, Mac…)</t>
  </si>
  <si>
    <t xml:space="preserve">Fixed costs per month</t>
  </si>
  <si>
    <t xml:space="preserve">Launch stage</t>
  </si>
  <si>
    <t xml:space="preserve">Growth stage</t>
  </si>
  <si>
    <t xml:space="preserve">Scale stage</t>
  </si>
  <si>
    <t xml:space="preserve">First 12 months before any revenue (start-up + 12 × Launch)</t>
  </si>
  <si>
    <t xml:space="preserve">Per subscriber, per month (after VAT, fees, LLM, infrastructure)</t>
  </si>
  <si>
    <t xml:space="preserve">Pro – contribution margin (blended monthly/annual)</t>
  </si>
  <si>
    <t xml:space="preserve">Unlimited – contribution margin (blended)</t>
  </si>
  <si>
    <t xml:space="preserve">All payers – contribution margin</t>
  </si>
  <si>
    <t xml:space="preserve">All payers – margin, worst-case LLM</t>
  </si>
  <si>
    <t xml:space="preserve">One free user – variable cost</t>
  </si>
  <si>
    <t xml:space="preserve">Break-even at the Launch stage</t>
  </si>
  <si>
    <t xml:space="preserve">Paying users needed</t>
  </si>
  <si>
    <t xml:space="preserve">Active users needed (at the assumed conversion)</t>
  </si>
  <si>
    <t xml:space="preserve">Projection (from the 'Projection' sheet)</t>
  </si>
  <si>
    <t xml:space="preserve">Active users</t>
  </si>
  <si>
    <t xml:space="preserve">Net revenue / month</t>
  </si>
  <si>
    <t xml:space="preserve">Total costs / month</t>
  </si>
  <si>
    <t xml:space="preserve">Result after social contributions / month</t>
  </si>
  <si>
    <t xml:space="preserve">Cost per active user / month</t>
  </si>
  <si>
    <t xml:space="preserve">Cost per paying user / month</t>
  </si>
  <si>
    <t xml:space="preserve">Assumptions</t>
  </si>
  <si>
    <t xml:space="preserve">Blue = input you can change · yellow = key assumption to check · every other sheet reads from here.</t>
  </si>
  <si>
    <t xml:space="preserve">Parameter</t>
  </si>
  <si>
    <t xml:space="preserve">Value</t>
  </si>
  <si>
    <t xml:space="preserve">Unit</t>
  </si>
  <si>
    <t xml:space="preserve">Source / note</t>
  </si>
  <si>
    <t xml:space="preserve">General</t>
  </si>
  <si>
    <t xml:space="preserve">Exchange rate USD → EUR</t>
  </si>
  <si>
    <t xml:space="preserve">€ per $</t>
  </si>
  <si>
    <t xml:space="preserve">Most providers bill in USD. Set to the current rate.</t>
  </si>
  <si>
    <t xml:space="preserve">VAT rate on consumer sales</t>
  </si>
  <si>
    <t xml:space="preserve">%</t>
  </si>
  <si>
    <t xml:space="preserve">Belgium 21%. Sales to other EU consumers take their country's rate via the OSS (FR 20%, DE 19%, NL 21%...). The prices you gave are treated as VAT-inclusive.</t>
  </si>
  <si>
    <t xml:space="preserve">Your prices (from your offer, VAT included)</t>
  </si>
  <si>
    <t xml:space="preserve">Pro – monthly</t>
  </si>
  <si>
    <t xml:space="preserve">€ / month</t>
  </si>
  <si>
    <t xml:space="preserve">From your offer grid.</t>
  </si>
  <si>
    <t xml:space="preserve">Pro – annual</t>
  </si>
  <si>
    <t xml:space="preserve">€ / year</t>
  </si>
  <si>
    <t xml:space="preserve">From your offer grid (−45%).</t>
  </si>
  <si>
    <t xml:space="preserve">Unlimited – monthly</t>
  </si>
  <si>
    <t xml:space="preserve">Unlimited – annual</t>
  </si>
  <si>
    <t xml:space="preserve">From your offer grid (−55%).</t>
  </si>
  <si>
    <t xml:space="preserve">Who pays, and how</t>
  </si>
  <si>
    <t xml:space="preserve">Share of active users on Pro</t>
  </si>
  <si>
    <t xml:space="preserve">% of MAU</t>
  </si>
  <si>
    <t xml:space="preserve">Freemium language apps typically convert 2–8% of actives. Replace with real data after launch.</t>
  </si>
  <si>
    <t xml:space="preserve">Share of active users on Unlimited</t>
  </si>
  <si>
    <t xml:space="preserve">Assumed smaller than Pro.</t>
  </si>
  <si>
    <t xml:space="preserve">Share of payers on an annual plan</t>
  </si>
  <si>
    <t xml:space="preserve">% of payers</t>
  </si>
  <si>
    <t xml:space="preserve">Your annual discounts are deep (45–55%), so expect many annual buyers.</t>
  </si>
  <si>
    <t xml:space="preserve">Share of subscriptions bought through the App Store / Google Play</t>
  </si>
  <si>
    <t xml:space="preserve">The rest is bought on the web (Stripe). Apple/Google require in-app purchase for subscriptions sold inside the apps.</t>
  </si>
  <si>
    <t xml:space="preserve">Payment fees</t>
  </si>
  <si>
    <t xml:space="preserve">App Store / Google Play commission</t>
  </si>
  <si>
    <t xml:space="preserve">% of price excl. VAT</t>
  </si>
  <si>
    <t xml:space="preserve">15% under the Small Business Programs (&lt; $1M/yr) and on every subscription after its first year; 30% otherwise. Stores collect and remit VAT for you.</t>
  </si>
  <si>
    <t xml:space="preserve">Stripe card fee (EEA cards)</t>
  </si>
  <si>
    <t xml:space="preserve">% of charge</t>
  </si>
  <si>
    <t xml:space="preserve">Stripe Belgium standard EEA cards: 1.5% + €0.25. Non-EEA cards cost more.</t>
  </si>
  <si>
    <t xml:space="preserve">Stripe fixed fee per charge</t>
  </si>
  <si>
    <t xml:space="preserve">€ / charge</t>
  </si>
  <si>
    <t xml:space="preserve">Paid on every monthly renewal, once a year on annual plans.</t>
  </si>
  <si>
    <t xml:space="preserve">Stripe Billing (subscriptions)</t>
  </si>
  <si>
    <t xml:space="preserve">Stripe Billing pay-as-you-go. Alternative: a merchant of record (Paddle, Lemon Squeezy, about 5% + $0.50) that also handles EU VAT for you.</t>
  </si>
  <si>
    <t xml:space="preserve">Variable cost per user per month</t>
  </si>
  <si>
    <t xml:space="preserve">LLM cost – Pro user, expected</t>
  </si>
  <si>
    <t xml:space="preserve">$ / month</t>
  </si>
  <si>
    <t xml:space="preserve">scripts/llm_cost_model.py --fleet: Gemini 3.1 Flash-Lite, 70% light / 25% typical / 5% heavy, with caching. $0.18 once the comprehension pool is shared (--pool-share 40).</t>
  </si>
  <si>
    <t xml:space="preserve">LLM cost – Pro user, worst case</t>
  </si>
  <si>
    <t xml:space="preserve">A heavy user (3× typical, llm_cost_model.py). Pro's practice is limited by 30 credits a day, so this is roughly the top.</t>
  </si>
  <si>
    <t xml:space="preserve">LLM cost – Unlimited user, expected</t>
  </si>
  <si>
    <t xml:space="preserve">llm_cost_model.py 'typical' user: assumes Unlimited buyers use the app more than Pro buyers.</t>
  </si>
  <si>
    <t xml:space="preserve">LLM cost – Unlimited user, worst case</t>
  </si>
  <si>
    <t xml:space="preserve">docs/llm-commercial-plan.md abuse ceiling ($2.24 at the OCR and comprehension caps) + composition 30/day and asking 40/day at their caps. Only true if those safety caps stay.</t>
  </si>
  <si>
    <t xml:space="preserve">Variable infrastructure – free user</t>
  </si>
  <si>
    <t xml:space="preserve">Database rows, auth and bandwidth beyond what the fixed plans include. Small: most infrastructure is in the fixed costs.</t>
  </si>
  <si>
    <t xml:space="preserve">Variable infrastructure – paying user</t>
  </si>
  <si>
    <t xml:space="preserve">More audio, practice logs and analyser history.</t>
  </si>
  <si>
    <t xml:space="preserve">Stages (which fixed-cost column applies)</t>
  </si>
  <si>
    <t xml:space="preserve">Growth stage starts at</t>
  </si>
  <si>
    <t xml:space="preserve">active users</t>
  </si>
  <si>
    <t xml:space="preserve">Bigger Render/Supabase plans, paid e-mail. See 'Fixed costs'.</t>
  </si>
  <si>
    <t xml:space="preserve">Scale stage starts at</t>
  </si>
  <si>
    <t xml:space="preserve">Belgian social contributions (independent)</t>
  </si>
  <si>
    <t xml:space="preserve">Social contribution rate on profit</t>
  </si>
  <si>
    <t xml:space="preserve">20.5% on annual income between €1,922 and €75,025 (2026 scales, Liantis / UCM).</t>
  </si>
  <si>
    <t xml:space="preserve">Minimum social contribution</t>
  </si>
  <si>
    <t xml:space="preserve">Self-employed alongside a job: €0 if your profit stays under €1,922 a year. Self-employed as your main job: €917.58 per quarter in 2026, so enter €305.86.</t>
  </si>
  <si>
    <t xml:space="preserve">Not modelled: income tax (IPP, or 20–25% corporate tax in an SRL). Everything here is before income tax.</t>
  </si>
  <si>
    <t xml:space="preserve">One-off costs to start</t>
  </si>
  <si>
    <t xml:space="preserve">Include = Y counts in the totals · amounts in the currency named · the € columns are calculated.</t>
  </si>
  <si>
    <t xml:space="preserve">Item</t>
  </si>
  <si>
    <t xml:space="preserve">Category</t>
  </si>
  <si>
    <t xml:space="preserve">Include (Y/N)</t>
  </si>
  <si>
    <t xml:space="preserve">Currency</t>
  </si>
  <si>
    <t xml:space="preserve">Low</t>
  </si>
  <si>
    <t xml:space="preserve">Expected</t>
  </si>
  <si>
    <t xml:space="preserve">High</t>
  </si>
  <si>
    <t xml:space="preserve">Low (€)</t>
  </si>
  <si>
    <t xml:space="preserve">Expected (€)</t>
  </si>
  <si>
    <t xml:space="preserve">High (€)</t>
  </si>
  <si>
    <t xml:space="preserve">Note / source</t>
  </si>
  <si>
    <t xml:space="preserve">Registration in the BCE (enterprise number) via a guichet d'entreprises</t>
  </si>
  <si>
    <t xml:space="preserve">Legal &amp; admin</t>
  </si>
  <si>
    <t xml:space="preserve">Y</t>
  </si>
  <si>
    <t xml:space="preserve">EUR</t>
  </si>
  <si>
    <t xml:space="preserve">2026 official fee, the same at every guichet. VAT activation through the guichet is included.</t>
  </si>
  <si>
    <t xml:space="preserve">VAT number activation</t>
  </si>
  <si>
    <t xml:space="preserve">Included in the BCE fee through the guichet. VAT returns are the accountant's job (fixed costs).</t>
  </si>
  <si>
    <t xml:space="preserve">Joining a social insurance fund (caisse d'assurances sociales)</t>
  </si>
  <si>
    <t xml:space="preserve">Free to join. The contributions are in 'Assumptions' and 'Projection'.</t>
  </si>
  <si>
    <t xml:space="preserve">Setting up a company (SRL) instead of working in your own name</t>
  </si>
  <si>
    <t xml:space="preserve">N</t>
  </si>
  <si>
    <t xml:space="preserve">Only if you choose a company: notary, articles, Moniteur publication, financial plan. Protects your personal assets. Not required to start.</t>
  </si>
  <si>
    <t xml:space="preserve">Benelux trademark 'Tsuji' (BOIP), classes 9 (software) + 41 (education)</t>
  </si>
  <si>
    <t xml:space="preserve">BOIP: €244 for the first class, €27 for each extra class. Valid 10 years. Check the fee on boip.int before filing.</t>
  </si>
  <si>
    <t xml:space="preserve">EU trademark (EUIPO), classes 9 + 41</t>
  </si>
  <si>
    <t xml:space="preserve">€850 + €50 for the second class. Covers the whole EU instead of Benelux only.</t>
  </si>
  <si>
    <t xml:space="preserve">Trademark clearance search / IP attorney</t>
  </si>
  <si>
    <t xml:space="preserve">'Tsuji' is a common Japanese surname. Check nobody already holds it in classes 9/41.</t>
  </si>
  <si>
    <t xml:space="preserve">Legal texts: terms of use, terms of sale, subscription and withdrawal terms</t>
  </si>
  <si>
    <t xml:space="preserve">EU consumer law: the 14-day withdrawal right, auto-renewal terms. public/privacy.html already exists.</t>
  </si>
  <si>
    <t xml:space="preserve">Accountant onboarding</t>
  </si>
  <si>
    <t xml:space="preserve">Some offices charge a set-up fee.</t>
  </si>
  <si>
    <t xml:space="preserve">Google Play developer registration</t>
  </si>
  <si>
    <t xml:space="preserve">Stores &amp; tech</t>
  </si>
  <si>
    <t xml:space="preserve">USD</t>
  </si>
  <si>
    <t xml:space="preserve">Paid once. (The Apple fee is yearly, so it is in 'Fixed costs'.)</t>
  </si>
  <si>
    <t xml:space="preserve">Mac for building and uploading the iOS app</t>
  </si>
  <si>
    <t xml:space="preserve">Only if you don't own one. Cloud macOS build services are the alternative.</t>
  </si>
  <si>
    <t xml:space="preserve">Test devices (a used iPhone and Android phone)</t>
  </si>
  <si>
    <t xml:space="preserve">First fill of the LLM pools (comprehension, exam papers, phrase cache)</t>
  </si>
  <si>
    <t xml:space="preserve">docs/llm-commercial-plan.md §5.4: every offline job run once ≈ $4.17.</t>
  </si>
  <si>
    <t xml:space="preserve">Payment integration (Stripe / RevenueCat)</t>
  </si>
  <si>
    <t xml:space="preserve">No set-up fee. The work is development time (HAS_STORE is still false).</t>
  </si>
  <si>
    <t xml:space="preserve">Voice licences (VOICEVOX Nemo, kana voice)</t>
  </si>
  <si>
    <t xml:space="preserve">Free, but you must credit 'VOICEVOX Nemo' (already done), and generated audio must never be used for machine learning.</t>
  </si>
  <si>
    <t xml:space="preserve">Launch marketing (ads, store screenshots, video)</t>
  </si>
  <si>
    <t xml:space="preserve">Marketing</t>
  </si>
  <si>
    <t xml:space="preserve">Optional. The landing page and its footage are self-made.</t>
  </si>
  <si>
    <t xml:space="preserve">Total – included items (Y)</t>
  </si>
  <si>
    <t xml:space="preserve">Total – every item, including optional</t>
  </si>
  <si>
    <t xml:space="preserve">Recurring fixed costs, by stage</t>
  </si>
  <si>
    <t xml:space="preserve">Amounts as billed (currency and period named) · € per month is calculated · Include = Y counts in the totals.</t>
  </si>
  <si>
    <t xml:space="preserve">Billed per</t>
  </si>
  <si>
    <t xml:space="preserve">Launch</t>
  </si>
  <si>
    <t xml:space="preserve">Growth</t>
  </si>
  <si>
    <t xml:space="preserve">Scale</t>
  </si>
  <si>
    <t xml:space="preserve">Launch (€/mo)</t>
  </si>
  <si>
    <t xml:space="preserve">Growth (€/mo)</t>
  </si>
  <si>
    <t xml:space="preserve">Scale (€/mo)</t>
  </si>
  <si>
    <t xml:space="preserve">Render – backend (FastAPI web service)</t>
  </si>
  <si>
    <t xml:space="preserve">Hosting</t>
  </si>
  <si>
    <t xml:space="preserve">month</t>
  </si>
  <si>
    <t xml:space="preserve">render.yaml: plan 'starter' (512 MB, 0.5 CPU). Standard $25 (2 GB, 1 CPU), Pro $85 (4 GB, 2 CPU).</t>
  </si>
  <si>
    <t xml:space="preserve">Render – persistent disk (exam and dictation audio)</t>
  </si>
  <si>
    <t xml:space="preserve">$0.25 per GB per month. render.yaml: 1 GB → 5 GB → 20 GB.</t>
  </si>
  <si>
    <t xml:space="preserve">Render – VOICEVOX Nemo voice engine (private service)</t>
  </si>
  <si>
    <t xml:space="preserve">ADR 0019: Starter holds it (343 MB) but slowly; Standard halves the first-play wait.</t>
  </si>
  <si>
    <t xml:space="preserve">Render – workspace plan</t>
  </si>
  <si>
    <t xml:space="preserve">Hobby is free. Professional ($19 per member) for autoscaling and a second instance.</t>
  </si>
  <si>
    <t xml:space="preserve">Vercel – frontend and /api proxy</t>
  </si>
  <si>
    <t xml:space="preserve">The free Hobby plan is non-commercial only. A paid app needs Pro ($20 per member; 1 TB of traffic included).</t>
  </si>
  <si>
    <t xml:space="preserve">Supabase – Postgres database + authentication</t>
  </si>
  <si>
    <t xml:space="preserve">The free plan pauses after 7 idle days and has no backups. Pro $25 includes 100k MAU, 8 GB of disk and Micro compute; Small compute +$5, Medium +$50.</t>
  </si>
  <si>
    <t xml:space="preserve">Transactional e-mail for auth (sign-up confirmation, password reset)</t>
  </si>
  <si>
    <t xml:space="preserve">Supabase's built-in mail is for testing only (a few mails an hour). E.g. Resend: free for 3,000 a month (100 a day), $20 for 50,000.</t>
  </si>
  <si>
    <t xml:space="preserve">Error tracking and uptime monitoring</t>
  </si>
  <si>
    <t xml:space="preserve">Free plans are enough early. Sentry Team $26.</t>
  </si>
  <si>
    <t xml:space="preserve">LLM – offline jobs (refilling the comprehension pool, new exam papers)</t>
  </si>
  <si>
    <t xml:space="preserve">AI</t>
  </si>
  <si>
    <t xml:space="preserve">Not tied to any one user. §5.4: a full prewarm ≈ $4. Per-user LLM spend is in 'Unit economics'.</t>
  </si>
  <si>
    <t xml:space="preserve">Rotating residential proxy (fetching YouTube subtitles)</t>
  </si>
  <si>
    <t xml:space="preserve">Only if you switch the YouTube-link feature on (it is off today). Webshare Rotating Residential $3.50 per GB, ≈ 2,500 analyses per GB.</t>
  </si>
  <si>
    <t xml:space="preserve">Domain name (e.g. tsuji.app)</t>
  </si>
  <si>
    <t xml:space="preserve">Web</t>
  </si>
  <si>
    <t xml:space="preserve">year</t>
  </si>
  <si>
    <t xml:space="preserve">The app still runs on japanese-learner-seven.vercel.app. A .app domain costs ≈ $14–20 a year.</t>
  </si>
  <si>
    <t xml:space="preserve">Contact mailbox (contact@…)</t>
  </si>
  <si>
    <t xml:space="preserve">Free forwarding at first (e.g. Cloudflare Email Routing), then a real mailbox.</t>
  </si>
  <si>
    <t xml:space="preserve">Apple Developer Program</t>
  </si>
  <si>
    <t xml:space="preserve">Stores</t>
  </si>
  <si>
    <t xml:space="preserve">Needed to publish on the App Store and TestFlight.</t>
  </si>
  <si>
    <t xml:space="preserve">Accountant (fiduciaire)</t>
  </si>
  <si>
    <t xml:space="preserve">Business</t>
  </si>
  <si>
    <t xml:space="preserve">Typical for a small Belgian self-employed business: VAT returns, OSS, annual accounts, income tax return.</t>
  </si>
  <si>
    <t xml:space="preserve">Business bank account</t>
  </si>
  <si>
    <t xml:space="preserve">A self-employed person in Belgium must keep a separate professional account.</t>
  </si>
  <si>
    <t xml:space="preserve">Professional liability / cyber insurance</t>
  </si>
  <si>
    <t xml:space="preserve">Optional, but worth it once you hold paying users' data.</t>
  </si>
  <si>
    <t xml:space="preserve">Development tools (AI coding subscription, etc.)</t>
  </si>
  <si>
    <t xml:space="preserve">PLACEHOLDER: enter what you actually pay.</t>
  </si>
  <si>
    <t xml:space="preserve">Paid acquisition / ads</t>
  </si>
  <si>
    <t xml:space="preserve">Optional. Set it once you know your cost per install.</t>
  </si>
  <si>
    <t xml:space="preserve">Total per month – included items (Y)</t>
  </si>
  <si>
    <t xml:space="preserve">Total per year – included items (Y)</t>
  </si>
  <si>
    <t xml:space="preserve">Total per month – every item, including optional</t>
  </si>
  <si>
    <t xml:space="preserve">Stages: Launch below the Growth threshold, Growth from it, Scale from the Scale threshold (see Assumptions).</t>
  </si>
  <si>
    <t xml:space="preserve">Unit economics: what one subscriber brings in and costs, per month</t>
  </si>
  <si>
    <t xml:space="preserve">Annual plans are spread over 12 months · 'via store' and 'via web' are blended by the channel mix in Assumptions.</t>
  </si>
  <si>
    <t xml:space="preserve">Plan</t>
  </si>
  <si>
    <t xml:space="preserve">Billing</t>
  </si>
  <si>
    <t xml:space="preserve">List price incl. VAT (€)</t>
  </si>
  <si>
    <t xml:space="preserve">Months covered</t>
  </si>
  <si>
    <t xml:space="preserve">Charges per month</t>
  </si>
  <si>
    <t xml:space="preserve">Gross per month (€)</t>
  </si>
  <si>
    <t xml:space="preserve">VAT (€)</t>
  </si>
  <si>
    <t xml:space="preserve">Net of VAT (€)</t>
  </si>
  <si>
    <t xml:space="preserve">Store commission if sold in-app (€)</t>
  </si>
  <si>
    <t xml:space="preserve">Stripe fees if sold on web (€)</t>
  </si>
  <si>
    <t xml:space="preserve">Payment cost, blended (€)</t>
  </si>
  <si>
    <t xml:space="preserve">Net revenue (€)</t>
  </si>
  <si>
    <t xml:space="preserve">LLM, expected (€)</t>
  </si>
  <si>
    <t xml:space="preserve">Infrastructure (€)</t>
  </si>
  <si>
    <t xml:space="preserve">Contribution margin (€)</t>
  </si>
  <si>
    <t xml:space="preserve">Margin % of gross</t>
  </si>
  <si>
    <t xml:space="preserve">LLM, worst case (€)</t>
  </si>
  <si>
    <t xml:space="preserve">Margin, worst case (€)</t>
  </si>
  <si>
    <t xml:space="preserve">Discount vs monthly</t>
  </si>
  <si>
    <t xml:space="preserve">Pro</t>
  </si>
  <si>
    <t xml:space="preserve">Monthly</t>
  </si>
  <si>
    <t xml:space="preserve">Annual</t>
  </si>
  <si>
    <t xml:space="preserve">Unlimited</t>
  </si>
  <si>
    <t xml:space="preserve">Blended by the annual share (Assumptions)</t>
  </si>
  <si>
    <t xml:space="preserve">Blended</t>
  </si>
  <si>
    <t xml:space="preserve">All payers</t>
  </si>
  <si>
    <t xml:space="preserve">Break-even (the result before social contributions and income tax)</t>
  </si>
  <si>
    <t xml:space="preserve">Stage</t>
  </si>
  <si>
    <t xml:space="preserve">Fixed costs (€/mo)</t>
  </si>
  <si>
    <t xml:space="preserve">Active users needed</t>
  </si>
  <si>
    <t xml:space="preserve">Note: free users add their variable infrastructure, so the true break-even is slightly higher; the 'Projection' sheet counts it.</t>
  </si>
  <si>
    <t xml:space="preserve">What a free user costs per month (€)</t>
  </si>
  <si>
    <t xml:space="preserve">Cost and result by number of active users (steady month)</t>
  </si>
  <si>
    <t xml:space="preserve">Row 5 is an input: change the active-user figures · every other row is calculated.</t>
  </si>
  <si>
    <t xml:space="preserve">Per month</t>
  </si>
  <si>
    <t xml:space="preserve">Scenario 1</t>
  </si>
  <si>
    <t xml:space="preserve">Scenario 2</t>
  </si>
  <si>
    <t xml:space="preserve">Scenario 3</t>
  </si>
  <si>
    <t xml:space="preserve">Scenario 4</t>
  </si>
  <si>
    <t xml:space="preserve">Scenario 5</t>
  </si>
  <si>
    <t xml:space="preserve">Scenario 6</t>
  </si>
  <si>
    <t xml:space="preserve">Scenario 7</t>
  </si>
  <si>
    <t xml:space="preserve">Scenario 8</t>
  </si>
  <si>
    <t xml:space="preserve">Monthly active users (MAU)</t>
  </si>
  <si>
    <t xml:space="preserve">Stage (1 Launch · 2 Growth · 3 Scale)</t>
  </si>
  <si>
    <t xml:space="preserve">Free users</t>
  </si>
  <si>
    <t xml:space="preserve">Pro subscribers</t>
  </si>
  <si>
    <t xml:space="preserve">Unlimited subscribers</t>
  </si>
  <si>
    <t xml:space="preserve">Paying users, total</t>
  </si>
  <si>
    <t xml:space="preserve">REVENUE</t>
  </si>
  <si>
    <t xml:space="preserve">Gross billings incl. VAT</t>
  </si>
  <si>
    <t xml:space="preserve">− VAT paid to the state (or kept by the store)</t>
  </si>
  <si>
    <t xml:space="preserve">− Store commission and payment fees</t>
  </si>
  <si>
    <t xml:space="preserve">Net revenue</t>
  </si>
  <si>
    <t xml:space="preserve">COSTS</t>
  </si>
  <si>
    <t xml:space="preserve">LLM, expected</t>
  </si>
  <si>
    <t xml:space="preserve">Variable infrastructure</t>
  </si>
  <si>
    <t xml:space="preserve">Fixed costs (by stage)</t>
  </si>
  <si>
    <t xml:space="preserve">Total operating costs</t>
  </si>
  <si>
    <t xml:space="preserve">RESULT</t>
  </si>
  <si>
    <t xml:space="preserve">Operating result (before social contributions)</t>
  </si>
  <si>
    <t xml:space="preserve">Social contributions (self-employed)</t>
  </si>
  <si>
    <t xml:space="preserve">Result after social contributions (before income tax)</t>
  </si>
  <si>
    <t xml:space="preserve">Result over 12 months</t>
  </si>
  <si>
    <t xml:space="preserve">COST PER USER</t>
  </si>
  <si>
    <t xml:space="preserve">Total cost per active user</t>
  </si>
  <si>
    <t xml:space="preserve">Total cost per paying user</t>
  </si>
  <si>
    <t xml:space="preserve">Net revenue per paying user</t>
  </si>
  <si>
    <t xml:space="preserve">Variable cost of one free user</t>
  </si>
  <si>
    <t xml:space="preserve">Operating margin (% of net revenue)</t>
  </si>
  <si>
    <t xml:space="preserve">STRESS TEST</t>
  </si>
  <si>
    <t xml:space="preserve">LLM if every payer hits the worst case</t>
  </si>
  <si>
    <t xml:space="preserve">Operating result, worst-case LLM</t>
  </si>
  <si>
    <t xml:space="preserve">Social contributions: 20.5% of a positive monthly result, never below the minimum set in Assumptions. Income tax is not included.</t>
  </si>
  <si>
    <t xml:space="preserve">Steady-state snapshot: churn, growth over time and the free trial are not modelled; change row 5 to test your own numbers.</t>
  </si>
  <si>
    <t xml:space="preserve">Your offer compared with what the app does today, and what is missing</t>
  </si>
  <si>
    <t xml:space="preserve">'Today in the code' = the limits currently set in the repository (backend/core/credits.py, routes/*).</t>
  </si>
  <si>
    <t xml:space="preserve">Feature</t>
  </si>
  <si>
    <t xml:space="preserve">Free</t>
  </si>
  <si>
    <t xml:space="preserve">Today in the code</t>
  </si>
  <si>
    <t xml:space="preserve">Comment</t>
  </si>
  <si>
    <t xml:space="preserve">Price</t>
  </si>
  <si>
    <t xml:space="preserve">€0</t>
  </si>
  <si>
    <t xml:space="preserve">€8 / month · €52 / year</t>
  </si>
  <si>
    <t xml:space="preserve">€12 / month · €65 / year</t>
  </si>
  <si>
    <t xml:space="preserve">No purchase flow yet (HAS_STORE = false); credits in shadow mode (CREDITS_ENFORCE unset).</t>
  </si>
  <si>
    <t xml:space="preserve">See the pricing notes below.</t>
  </si>
  <si>
    <t xml:space="preserve">Learning (kana, vocab, kanji, grammar reviews)</t>
  </si>
  <si>
    <t xml:space="preserve">Up to N3, 1 credit a review, kana free</t>
  </si>
  <si>
    <t xml:space="preserve">All levels, no credits</t>
  </si>
  <si>
    <t xml:space="preserve">Every level open to everyone; 1 credit a review; kana free (FREE_SOURCES).</t>
  </si>
  <si>
    <t xml:space="preserve">New: an N3 limit for Free. Decide what a Free user sees of N2/N1 in the dictionary, the daily queue and analysed sentences.</t>
  </si>
  <si>
    <t xml:space="preserve">Daily credits</t>
  </si>
  <si>
    <t xml:space="preserve">30 a day, max 50</t>
  </si>
  <si>
    <t xml:space="preserve">30 a day, max 50 (practice only)</t>
  </si>
  <si>
    <t xml:space="preserve">None needed</t>
  </si>
  <si>
    <t xml:space="preserve">30 a day, 1 every 48 min, max 50, plus a 200-credit welcome bonus (SIGNUP_BONUS).</t>
  </si>
  <si>
    <t xml:space="preserve">Your grid doesn't mention the 200-credit welcome bonus: keep it?</t>
  </si>
  <si>
    <t xml:space="preserve">Practice (reading, translation, dictation, comprehension, composition, mock exam)</t>
  </si>
  <si>
    <t xml:space="preserve">—</t>
  </si>
  <si>
    <t xml:space="preserve">1 credit a play</t>
  </si>
  <si>
    <t xml:space="preserve">Pass only; practice never spends credits.</t>
  </si>
  <si>
    <t xml:space="preserve">Define a 'play': a run, a sentence, or a mock exam (≈ 1 hour, ~35 model calls if the paper is new)?</t>
  </si>
  <si>
    <t xml:space="preserve">Analyser (text, photo, video)</t>
  </si>
  <si>
    <t xml:space="preserve">Yes, 30 in history</t>
  </si>
  <si>
    <t xml:space="preserve">Yes</t>
  </si>
  <si>
    <t xml:space="preserve">Pass only; history 30 for everyone (core/history.py).</t>
  </si>
  <si>
    <t xml:space="preserve">Does an analysis, photo or 'Explain' cost Pro a credit? Each one calls the LLM.</t>
  </si>
  <si>
    <t xml:space="preserve">Decks</t>
  </si>
  <si>
    <t xml:space="preserve">10 decks × 200 cards</t>
  </si>
  <si>
    <t xml:space="preserve">30 decks × 400 cards</t>
  </si>
  <si>
    <t xml:space="preserve">'Almost no limits'</t>
  </si>
  <si>
    <t xml:space="preserve">Free 7 decks / 200 cards; pass 100 decks / 10,000 cards.</t>
  </si>
  <si>
    <t xml:space="preserve">Put a real number on Unlimited (e.g. 100 × 10,000, as today).</t>
  </si>
  <si>
    <t xml:space="preserve">Dictionary favourites</t>
  </si>
  <si>
    <t xml:space="preserve">30</t>
  </si>
  <si>
    <t xml:space="preserve">100</t>
  </si>
  <si>
    <t xml:space="preserve">500 for everyone (MAX_FAVORITES).</t>
  </si>
  <si>
    <t xml:space="preserve">Put a real number on Unlimited (e.g. 500).</t>
  </si>
  <si>
    <t xml:space="preserve">Safety limits per day (LLM)</t>
  </si>
  <si>
    <t xml:space="preserve">Through credits</t>
  </si>
  <si>
    <t xml:space="preserve">'The user shouldn't feel it'</t>
  </si>
  <si>
    <t xml:space="preserve">Photos 20, new comprehension texts 10, composition reviews 30, questions 40, YouTube fetches 10.</t>
  </si>
  <si>
    <t xml:space="preserve">These caps are what keep Unlimited's LLM worst case ≈ $3.20 a month. Name them in a fair-use policy.</t>
  </si>
  <si>
    <r>
      <rPr>
        <b val="true"/>
        <sz val="11"/>
        <rFont val="Arial"/>
        <family val="0"/>
        <charset val="1"/>
      </rPr>
      <t xml:space="preserve">Asking (</t>
    </r>
    <r>
      <rPr>
        <b val="true"/>
        <sz val="11"/>
        <rFont val="WenQuanYi Zen Hei"/>
        <family val="2"/>
      </rPr>
      <t xml:space="preserve">問</t>
    </r>
    <r>
      <rPr>
        <b val="true"/>
        <sz val="11"/>
        <rFont val="Arial"/>
        <family val="0"/>
        <charset val="1"/>
      </rPr>
      <t xml:space="preserve">, questions after a graded exercise)</t>
    </r>
  </si>
  <si>
    <t xml:space="preserve">?</t>
  </si>
  <si>
    <t xml:space="preserve">Pass only, 40 a day.</t>
  </si>
  <si>
    <t xml:space="preserve">Not in your grid.</t>
  </si>
  <si>
    <t xml:space="preserve">Library (publishing / following decks)</t>
  </si>
  <si>
    <t xml:space="preserve">Open to everyone today.</t>
  </si>
  <si>
    <t xml:space="preserve">Not in your grid. Do followed decks count toward the deck limit?</t>
  </si>
  <si>
    <t xml:space="preserve">What the offer doesn't cover yet</t>
  </si>
  <si>
    <t xml:space="preserve">VAT. At €8 incl. 21% VAT, €1.39 goes to the state. In-app, Apple/Google deduct it for you. On the web you file it yourself through the EU OSS at each buyer's country rate.</t>
  </si>
  <si>
    <t xml:space="preserve">Store commission. Apple/Google keep 15% of the price excluding VAT (30% above $1M a year). 'Unit economics' includes it.</t>
  </si>
  <si>
    <t xml:space="preserve">Store price points. Stores sell in fixed steps (€7.99, €11.99, €49.99, €64.99...). Pick the nearest step in each currency, and decide your prices in ¥ and $.</t>
  </si>
  <si>
    <t xml:space="preserve">Free trial. A 7-day trial is standard for subscriptions and changes conversion. It isn't in the offer.</t>
  </si>
  <si>
    <t xml:space="preserve">Withdrawal, refunds and renewal. EU law gives a 14-day withdrawal right unless the buyer waives it when they start using the content. You need renewal reminders and a clear way to cancel.</t>
  </si>
  <si>
    <t xml:space="preserve">Downgrades. When a Pro plan ends, what happens to decks over 10 × 200, favourites over 30 and N2/N1 cards already being reviewed? (Read-only? Paused?)</t>
  </si>
  <si>
    <t xml:space="preserve">Existing / beta users. Do early users get a lower price for life or a free period, and is there a launch offer?</t>
  </si>
  <si>
    <t xml:space="preserve">Buying credits. Can a Free or Pro user who runs out buy a credit pack? That would be another source of revenue.</t>
  </si>
  <si>
    <t xml:space="preserve">Calling a capped plan 'Unlimited'. Under EU consumer law, 'Unlimited' with hidden caps can count as misleading. Publish the fair-use limits, or rename the plan (Max / Premium).</t>
  </si>
  <si>
    <t xml:space="preserve">Price gap. Annual Unlimited (€65) is only €13 more than annual Pro (€52), while monthly Unlimited is 50% more than monthly Pro. Most annual buyers will pick Unlimited, which makes Pro annual close to pointless.</t>
  </si>
  <si>
    <t xml:space="preserve">Discount depth. 45–55% off for annual is well above the usual 15–35%. That's fine if you want annual users, but it halves revenue per user. 'Unit economics' shows the margin that remains.</t>
  </si>
  <si>
    <t xml:space="preserve">Optional extras: a family or student plan, and the number of devices per account.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</si>
</sst>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€#,##0.00;&quot;(€&quot;#,##0.00\);\-"/>
    <numFmt numFmtId="166" formatCode="#,##0;\(#,##0\);\-"/>
    <numFmt numFmtId="167" formatCode="\€#,##0;&quot;(€&quot;#,##0\);\-"/>
    <numFmt numFmtId="168" formatCode="0.00"/>
    <numFmt numFmtId="169" formatCode="0.0%;\(0.0%\);\-"/>
    <numFmt numFmtId="170" formatCode="\$#,##0.00;&quot;($&quot;#,##0.00\);\-"/>
    <numFmt numFmtId="171" formatCode="#,##0.00"/>
    <numFmt numFmtId="172" formatCode="0.000"/>
    <numFmt numFmtId="173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D9D9D9"/>
      </patternFill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2F2F2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 vs total costs (€/month)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Projection!A16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Projection!$B$5:$I$5</c:f>
              <c:strCache>
                <c:ptCount val="8"/>
                <c:pt idx="0">
                  <c:v>100</c:v>
                </c:pt>
                <c:pt idx="1">
                  <c:v>500</c:v>
                </c:pt>
                <c:pt idx="2">
                  <c:v>1,000</c:v>
                </c:pt>
                <c:pt idx="3">
                  <c:v>2,500</c:v>
                </c:pt>
                <c:pt idx="4">
                  <c:v>5,000</c:v>
                </c:pt>
                <c:pt idx="5">
                  <c:v>10,000</c:v>
                </c:pt>
                <c:pt idx="6">
                  <c:v>25,000</c:v>
                </c:pt>
                <c:pt idx="7">
                  <c:v>50,000</c:v>
                </c:pt>
              </c:strCache>
            </c:strRef>
          </c:cat>
          <c:val>
            <c:numRef>
              <c:f>Projection!$B$16:$I$16</c:f>
              <c:numCache>
                <c:formatCode>\€#,##0.00;"(€"#,##0.00\);\-</c:formatCode>
                <c:ptCount val="8"/>
                <c:pt idx="0">
                  <c:v>30.9541157024793</c:v>
                </c:pt>
                <c:pt idx="1">
                  <c:v>141.933693663912</c:v>
                </c:pt>
                <c:pt idx="2">
                  <c:v>277.448944903581</c:v>
                </c:pt>
                <c:pt idx="3">
                  <c:v>696.831583471074</c:v>
                </c:pt>
                <c:pt idx="4">
                  <c:v>1387.24472451791</c:v>
                </c:pt>
                <c:pt idx="5">
                  <c:v>2774.48944903581</c:v>
                </c:pt>
                <c:pt idx="6">
                  <c:v>6936.22362258953</c:v>
                </c:pt>
                <c:pt idx="7">
                  <c:v>13872.4472451791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Projection!A22</c:f>
              <c:strCache>
                <c:ptCount val="1"/>
                <c:pt idx="0">
                  <c:v>Total operating costs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Projection!$B$5:$I$5</c:f>
              <c:strCache>
                <c:ptCount val="8"/>
                <c:pt idx="0">
                  <c:v>100</c:v>
                </c:pt>
                <c:pt idx="1">
                  <c:v>500</c:v>
                </c:pt>
                <c:pt idx="2">
                  <c:v>1,000</c:v>
                </c:pt>
                <c:pt idx="3">
                  <c:v>2,500</c:v>
                </c:pt>
                <c:pt idx="4">
                  <c:v>5,000</c:v>
                </c:pt>
                <c:pt idx="5">
                  <c:v>10,000</c:v>
                </c:pt>
                <c:pt idx="6">
                  <c:v>25,000</c:v>
                </c:pt>
                <c:pt idx="7">
                  <c:v>50,000</c:v>
                </c:pt>
              </c:strCache>
            </c:strRef>
          </c:cat>
          <c:val>
            <c:numRef>
              <c:f>Projection!$B$22:$I$22</c:f>
              <c:numCache>
                <c:formatCode>\€#,##0.00;"(€"#,##0.00\);\-</c:formatCode>
                <c:ptCount val="8"/>
                <c:pt idx="0">
                  <c:v>234.5906</c:v>
                </c:pt>
                <c:pt idx="1">
                  <c:v>244.7962</c:v>
                </c:pt>
                <c:pt idx="2">
                  <c:v>257.359</c:v>
                </c:pt>
                <c:pt idx="3">
                  <c:v>396.7242</c:v>
                </c:pt>
                <c:pt idx="4">
                  <c:v>460.315</c:v>
                </c:pt>
                <c:pt idx="5">
                  <c:v>587.885</c:v>
                </c:pt>
                <c:pt idx="6">
                  <c:v>1285.12</c:v>
                </c:pt>
                <c:pt idx="7">
                  <c:v>1922.97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72815"/>
        <c:axId val="70842111"/>
      </c:lineChart>
      <c:catAx>
        <c:axId val="16728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Active users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842111"/>
        <c:crosses val="autoZero"/>
        <c:auto val="1"/>
        <c:lblAlgn val="ctr"/>
        <c:lblOffset val="100"/>
        <c:noMultiLvlLbl val="0"/>
      </c:catAx>
      <c:valAx>
        <c:axId val="708421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 /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€#,##0.00;&quot;(€&quot;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728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43</xdr:row>
      <xdr:rowOff>160560</xdr:rowOff>
    </xdr:from>
    <xdr:to>
      <xdr:col>3</xdr:col>
      <xdr:colOff>807480</xdr:colOff>
      <xdr:row>60</xdr:row>
      <xdr:rowOff>161640</xdr:rowOff>
    </xdr:to>
    <xdr:graphicFrame>
      <xdr:nvGraphicFramePr>
        <xdr:cNvPr id="0" name="Chart 1"/>
        <xdr:cNvGraphicFramePr/>
      </xdr:nvGraphicFramePr>
      <xdr:xfrm>
        <a:off x="0" y="8381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n">
        <f aca="false">'Start-up costs'!$I$22</f>
        <v>958.3</v>
      </c>
    </row>
    <row r="6" customFormat="false" ht="15" hidden="false" customHeight="false" outlineLevel="0" collapsed="false">
      <c r="A6" s="7" t="s">
        <v>4</v>
      </c>
      <c r="B6" s="8" t="n">
        <f aca="false">'Start-up costs'!$I$23</f>
        <v>3708.3</v>
      </c>
    </row>
    <row r="8" customFormat="false" ht="15" hidden="false" customHeight="false" outlineLevel="0" collapsed="false">
      <c r="A8" s="3" t="s">
        <v>5</v>
      </c>
      <c r="B8" s="4"/>
    </row>
    <row r="9" customFormat="false" ht="15" hidden="false" customHeight="false" outlineLevel="0" collapsed="false">
      <c r="A9" s="5" t="s">
        <v>6</v>
      </c>
      <c r="B9" s="6" t="n">
        <f aca="false">'Fixed costs'!$I$24</f>
        <v>231.845</v>
      </c>
    </row>
    <row r="10" customFormat="false" ht="15" hidden="false" customHeight="false" outlineLevel="0" collapsed="false">
      <c r="A10" s="7" t="s">
        <v>7</v>
      </c>
      <c r="B10" s="8" t="n">
        <f aca="false">'Fixed costs'!$J$24</f>
        <v>332.745</v>
      </c>
    </row>
    <row r="11" customFormat="false" ht="15" hidden="false" customHeight="false" outlineLevel="0" collapsed="false">
      <c r="A11" s="7" t="s">
        <v>8</v>
      </c>
      <c r="B11" s="8" t="n">
        <f aca="false">'Fixed costs'!$K$24</f>
        <v>647.27</v>
      </c>
    </row>
    <row r="12" customFormat="false" ht="15" hidden="false" customHeight="false" outlineLevel="0" collapsed="false">
      <c r="A12" s="5" t="s">
        <v>9</v>
      </c>
      <c r="B12" s="6" t="n">
        <f aca="false">'Start-up costs'!$I$22+12*'Fixed costs'!$I$24</f>
        <v>3740.44</v>
      </c>
    </row>
    <row r="14" customFormat="false" ht="15" hidden="false" customHeight="false" outlineLevel="0" collapsed="false">
      <c r="A14" s="3" t="s">
        <v>10</v>
      </c>
      <c r="B14" s="4"/>
    </row>
    <row r="15" customFormat="false" ht="15" hidden="false" customHeight="false" outlineLevel="0" collapsed="false">
      <c r="A15" s="7" t="s">
        <v>11</v>
      </c>
      <c r="B15" s="8" t="n">
        <f aca="false">'Unit economics'!$O$11</f>
        <v>4.27710771349862</v>
      </c>
    </row>
    <row r="16" customFormat="false" ht="15" hidden="false" customHeight="false" outlineLevel="0" collapsed="false">
      <c r="A16" s="7" t="s">
        <v>12</v>
      </c>
      <c r="B16" s="8" t="n">
        <f aca="false">'Unit economics'!$O$12</f>
        <v>6.02004242424243</v>
      </c>
    </row>
    <row r="17" customFormat="false" ht="15" hidden="false" customHeight="false" outlineLevel="0" collapsed="false">
      <c r="A17" s="5" t="s">
        <v>13</v>
      </c>
      <c r="B17" s="6" t="n">
        <f aca="false">'Unit economics'!$O$13</f>
        <v>4.75245354370148</v>
      </c>
    </row>
    <row r="18" customFormat="false" ht="15" hidden="false" customHeight="false" outlineLevel="0" collapsed="false">
      <c r="A18" s="7" t="s">
        <v>14</v>
      </c>
      <c r="B18" s="8" t="n">
        <f aca="false">'Unit economics'!$R$13</f>
        <v>3.44212627097421</v>
      </c>
    </row>
    <row r="19" customFormat="false" ht="15" hidden="false" customHeight="false" outlineLevel="0" collapsed="false">
      <c r="A19" s="7" t="s">
        <v>15</v>
      </c>
      <c r="B19" s="8" t="n">
        <f aca="false">'Unit economics'!$C$24</f>
        <v>0.01</v>
      </c>
    </row>
    <row r="21" customFormat="false" ht="15" hidden="false" customHeight="false" outlineLevel="0" collapsed="false">
      <c r="A21" s="3" t="s">
        <v>16</v>
      </c>
      <c r="B21" s="4"/>
    </row>
    <row r="22" customFormat="false" ht="15" hidden="false" customHeight="false" outlineLevel="0" collapsed="false">
      <c r="A22" s="5" t="s">
        <v>17</v>
      </c>
      <c r="B22" s="9" t="n">
        <f aca="false">'Unit economics'!$C$18</f>
        <v>49</v>
      </c>
    </row>
    <row r="23" customFormat="false" ht="15" hidden="false" customHeight="false" outlineLevel="0" collapsed="false">
      <c r="A23" s="5" t="s">
        <v>18</v>
      </c>
      <c r="B23" s="9" t="n">
        <f aca="false">'Unit economics'!$D$18</f>
        <v>891</v>
      </c>
    </row>
    <row r="25" customFormat="false" ht="15" hidden="false" customHeight="false" outlineLevel="0" collapsed="false">
      <c r="A25" s="3" t="s">
        <v>19</v>
      </c>
      <c r="B25" s="4"/>
    </row>
    <row r="26" customFormat="false" ht="15" hidden="false" customHeight="false" outlineLevel="0" collapsed="false">
      <c r="A26" s="5" t="s">
        <v>20</v>
      </c>
      <c r="B26" s="9" t="n">
        <f aca="false">Projection!B5</f>
        <v>100</v>
      </c>
      <c r="C26" s="9" t="n">
        <f aca="false">Projection!C5</f>
        <v>500</v>
      </c>
      <c r="D26" s="9" t="n">
        <f aca="false">Projection!D5</f>
        <v>1000</v>
      </c>
      <c r="E26" s="9" t="n">
        <f aca="false">Projection!E5</f>
        <v>2500</v>
      </c>
      <c r="F26" s="9" t="n">
        <f aca="false">Projection!F5</f>
        <v>5000</v>
      </c>
      <c r="G26" s="9" t="n">
        <f aca="false">Projection!G5</f>
        <v>10000</v>
      </c>
      <c r="H26" s="9" t="n">
        <f aca="false">Projection!H5</f>
        <v>25000</v>
      </c>
      <c r="I26" s="9" t="n">
        <f aca="false">Projection!I5</f>
        <v>50000</v>
      </c>
    </row>
    <row r="27" customFormat="false" ht="15" hidden="false" customHeight="false" outlineLevel="0" collapsed="false">
      <c r="A27" s="7" t="s">
        <v>21</v>
      </c>
      <c r="B27" s="10" t="n">
        <f aca="false">Projection!B16</f>
        <v>30.9541157024793</v>
      </c>
      <c r="C27" s="10" t="n">
        <f aca="false">Projection!C16</f>
        <v>141.933693663912</v>
      </c>
      <c r="D27" s="10" t="n">
        <f aca="false">Projection!D16</f>
        <v>277.448944903581</v>
      </c>
      <c r="E27" s="10" t="n">
        <f aca="false">Projection!E16</f>
        <v>696.831583471074</v>
      </c>
      <c r="F27" s="10" t="n">
        <f aca="false">Projection!F16</f>
        <v>1387.24472451791</v>
      </c>
      <c r="G27" s="10" t="n">
        <f aca="false">Projection!G16</f>
        <v>2774.48944903581</v>
      </c>
      <c r="H27" s="10" t="n">
        <f aca="false">Projection!H16</f>
        <v>6936.22362258953</v>
      </c>
      <c r="I27" s="10" t="n">
        <f aca="false">Projection!I16</f>
        <v>13872.4472451791</v>
      </c>
    </row>
    <row r="28" customFormat="false" ht="15" hidden="false" customHeight="false" outlineLevel="0" collapsed="false">
      <c r="A28" s="7" t="s">
        <v>22</v>
      </c>
      <c r="B28" s="10" t="n">
        <f aca="false">Projection!B22</f>
        <v>234.5906</v>
      </c>
      <c r="C28" s="10" t="n">
        <f aca="false">Projection!C22</f>
        <v>244.7962</v>
      </c>
      <c r="D28" s="10" t="n">
        <f aca="false">Projection!D22</f>
        <v>257.359</v>
      </c>
      <c r="E28" s="10" t="n">
        <f aca="false">Projection!E22</f>
        <v>396.7242</v>
      </c>
      <c r="F28" s="10" t="n">
        <f aca="false">Projection!F22</f>
        <v>460.315</v>
      </c>
      <c r="G28" s="10" t="n">
        <f aca="false">Projection!G22</f>
        <v>587.885</v>
      </c>
      <c r="H28" s="10" t="n">
        <f aca="false">Projection!H22</f>
        <v>1285.12</v>
      </c>
      <c r="I28" s="10" t="n">
        <f aca="false">Projection!I22</f>
        <v>1922.97</v>
      </c>
    </row>
    <row r="29" customFormat="false" ht="15" hidden="false" customHeight="false" outlineLevel="0" collapsed="false">
      <c r="A29" s="7" t="s">
        <v>23</v>
      </c>
      <c r="B29" s="10" t="n">
        <f aca="false">Projection!B27</f>
        <v>-203.636484297521</v>
      </c>
      <c r="C29" s="10" t="n">
        <f aca="false">Projection!C27</f>
        <v>-102.862506336088</v>
      </c>
      <c r="D29" s="10" t="n">
        <f aca="false">Projection!D27</f>
        <v>15.9715061983471</v>
      </c>
      <c r="E29" s="10" t="n">
        <f aca="false">Projection!E27</f>
        <v>238.585369859504</v>
      </c>
      <c r="F29" s="10" t="n">
        <f aca="false">Projection!F27</f>
        <v>736.909130991735</v>
      </c>
      <c r="G29" s="10" t="n">
        <f aca="false">Projection!G27</f>
        <v>1738.35053698347</v>
      </c>
      <c r="H29" s="10" t="n">
        <f aca="false">Projection!H27</f>
        <v>4492.62737995868</v>
      </c>
      <c r="I29" s="10" t="n">
        <f aca="false">Projection!I27</f>
        <v>9499.83440991736</v>
      </c>
    </row>
    <row r="30" customFormat="false" ht="15" hidden="false" customHeight="false" outlineLevel="0" collapsed="false">
      <c r="A30" s="7" t="s">
        <v>24</v>
      </c>
      <c r="B30" s="8" t="n">
        <f aca="false">Projection!B31</f>
        <v>2.345906</v>
      </c>
      <c r="C30" s="8" t="n">
        <f aca="false">Projection!C31</f>
        <v>0.4895924</v>
      </c>
      <c r="D30" s="8" t="n">
        <f aca="false">Projection!D31</f>
        <v>0.257359</v>
      </c>
      <c r="E30" s="8" t="n">
        <f aca="false">Projection!E31</f>
        <v>0.15868968</v>
      </c>
      <c r="F30" s="8" t="n">
        <f aca="false">Projection!F31</f>
        <v>0.092063</v>
      </c>
      <c r="G30" s="8" t="n">
        <f aca="false">Projection!G31</f>
        <v>0.0587885</v>
      </c>
      <c r="H30" s="8" t="n">
        <f aca="false">Projection!H31</f>
        <v>0.0514048</v>
      </c>
      <c r="I30" s="8" t="n">
        <f aca="false">Projection!I31</f>
        <v>0.0384594</v>
      </c>
    </row>
    <row r="31" customFormat="false" ht="15" hidden="false" customHeight="false" outlineLevel="0" collapsed="false">
      <c r="A31" s="7" t="s">
        <v>25</v>
      </c>
      <c r="B31" s="8" t="n">
        <f aca="false">Projection!B32</f>
        <v>39.0984333333333</v>
      </c>
      <c r="C31" s="8" t="n">
        <f aca="false">Projection!C32</f>
        <v>8.74272142857143</v>
      </c>
      <c r="D31" s="8" t="n">
        <f aca="false">Projection!D32</f>
        <v>4.67925454545455</v>
      </c>
      <c r="E31" s="8" t="n">
        <f aca="false">Projection!E32</f>
        <v>2.87481304347826</v>
      </c>
      <c r="F31" s="8" t="n">
        <f aca="false">Projection!F32</f>
        <v>1.67387272727273</v>
      </c>
      <c r="G31" s="8" t="n">
        <f aca="false">Projection!G32</f>
        <v>1.06888181818182</v>
      </c>
      <c r="H31" s="8" t="n">
        <f aca="false">Projection!H32</f>
        <v>0.934632727272727</v>
      </c>
      <c r="I31" s="8" t="n">
        <f aca="false">Projection!I32</f>
        <v>0.699261818181818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11" t="s">
        <v>28</v>
      </c>
      <c r="B4" s="11" t="s">
        <v>29</v>
      </c>
      <c r="C4" s="11" t="s">
        <v>30</v>
      </c>
      <c r="D4" s="11" t="s">
        <v>31</v>
      </c>
    </row>
    <row r="5" customFormat="false" ht="15" hidden="false" customHeight="false" outlineLevel="0" collapsed="false">
      <c r="A5" s="3" t="s">
        <v>32</v>
      </c>
      <c r="B5" s="4"/>
      <c r="C5" s="4"/>
      <c r="D5" s="4"/>
    </row>
    <row r="6" customFormat="false" ht="15" hidden="false" customHeight="false" outlineLevel="0" collapsed="false">
      <c r="A6" s="7" t="s">
        <v>33</v>
      </c>
      <c r="B6" s="12" t="n">
        <v>0.86</v>
      </c>
      <c r="C6" s="7" t="s">
        <v>34</v>
      </c>
      <c r="D6" s="13" t="s">
        <v>35</v>
      </c>
    </row>
    <row r="7" customFormat="false" ht="26.85" hidden="false" customHeight="false" outlineLevel="0" collapsed="false">
      <c r="A7" s="7" t="s">
        <v>36</v>
      </c>
      <c r="B7" s="14" t="n">
        <v>0.21</v>
      </c>
      <c r="C7" s="7" t="s">
        <v>37</v>
      </c>
      <c r="D7" s="13" t="s">
        <v>38</v>
      </c>
    </row>
    <row r="8" customFormat="false" ht="15" hidden="false" customHeight="false" outlineLevel="0" collapsed="false">
      <c r="A8" s="3" t="s">
        <v>39</v>
      </c>
      <c r="B8" s="4"/>
      <c r="C8" s="4"/>
      <c r="D8" s="4"/>
    </row>
    <row r="9" customFormat="false" ht="15" hidden="false" customHeight="false" outlineLevel="0" collapsed="false">
      <c r="A9" s="7" t="s">
        <v>40</v>
      </c>
      <c r="B9" s="15" t="n">
        <v>8</v>
      </c>
      <c r="C9" s="7" t="s">
        <v>41</v>
      </c>
      <c r="D9" s="13" t="s">
        <v>42</v>
      </c>
    </row>
    <row r="10" customFormat="false" ht="15" hidden="false" customHeight="false" outlineLevel="0" collapsed="false">
      <c r="A10" s="7" t="s">
        <v>43</v>
      </c>
      <c r="B10" s="15" t="n">
        <v>52</v>
      </c>
      <c r="C10" s="7" t="s">
        <v>44</v>
      </c>
      <c r="D10" s="13" t="s">
        <v>45</v>
      </c>
    </row>
    <row r="11" customFormat="false" ht="15" hidden="false" customHeight="false" outlineLevel="0" collapsed="false">
      <c r="A11" s="7" t="s">
        <v>46</v>
      </c>
      <c r="B11" s="15" t="n">
        <v>12</v>
      </c>
      <c r="C11" s="7" t="s">
        <v>41</v>
      </c>
      <c r="D11" s="13" t="s">
        <v>42</v>
      </c>
    </row>
    <row r="12" customFormat="false" ht="15" hidden="false" customHeight="false" outlineLevel="0" collapsed="false">
      <c r="A12" s="7" t="s">
        <v>47</v>
      </c>
      <c r="B12" s="15" t="n">
        <v>65</v>
      </c>
      <c r="C12" s="7" t="s">
        <v>44</v>
      </c>
      <c r="D12" s="13" t="s">
        <v>48</v>
      </c>
    </row>
    <row r="13" customFormat="false" ht="15" hidden="false" customHeight="false" outlineLevel="0" collapsed="false">
      <c r="A13" s="3" t="s">
        <v>49</v>
      </c>
      <c r="B13" s="4"/>
      <c r="C13" s="4"/>
      <c r="D13" s="4"/>
    </row>
    <row r="14" customFormat="false" ht="15" hidden="false" customHeight="false" outlineLevel="0" collapsed="false">
      <c r="A14" s="7" t="s">
        <v>50</v>
      </c>
      <c r="B14" s="14" t="n">
        <v>0.04</v>
      </c>
      <c r="C14" s="7" t="s">
        <v>51</v>
      </c>
      <c r="D14" s="13" t="s">
        <v>52</v>
      </c>
    </row>
    <row r="15" customFormat="false" ht="15" hidden="false" customHeight="false" outlineLevel="0" collapsed="false">
      <c r="A15" s="7" t="s">
        <v>53</v>
      </c>
      <c r="B15" s="14" t="n">
        <v>0.015</v>
      </c>
      <c r="C15" s="7" t="s">
        <v>51</v>
      </c>
      <c r="D15" s="13" t="s">
        <v>54</v>
      </c>
    </row>
    <row r="16" customFormat="false" ht="15" hidden="false" customHeight="false" outlineLevel="0" collapsed="false">
      <c r="A16" s="7" t="s">
        <v>55</v>
      </c>
      <c r="B16" s="14" t="n">
        <v>0.5</v>
      </c>
      <c r="C16" s="7" t="s">
        <v>56</v>
      </c>
      <c r="D16" s="13" t="s">
        <v>57</v>
      </c>
    </row>
    <row r="17" customFormat="false" ht="15" hidden="false" customHeight="false" outlineLevel="0" collapsed="false">
      <c r="A17" s="7" t="s">
        <v>58</v>
      </c>
      <c r="B17" s="14" t="n">
        <v>0.6</v>
      </c>
      <c r="C17" s="7" t="s">
        <v>56</v>
      </c>
      <c r="D17" s="13" t="s">
        <v>59</v>
      </c>
    </row>
    <row r="18" customFormat="false" ht="15" hidden="false" customHeight="false" outlineLevel="0" collapsed="false">
      <c r="A18" s="3" t="s">
        <v>60</v>
      </c>
      <c r="B18" s="4"/>
      <c r="C18" s="4"/>
      <c r="D18" s="4"/>
    </row>
    <row r="19" customFormat="false" ht="26.85" hidden="false" customHeight="false" outlineLevel="0" collapsed="false">
      <c r="A19" s="7" t="s">
        <v>61</v>
      </c>
      <c r="B19" s="16" t="n">
        <v>0.15</v>
      </c>
      <c r="C19" s="7" t="s">
        <v>62</v>
      </c>
      <c r="D19" s="13" t="s">
        <v>63</v>
      </c>
    </row>
    <row r="20" customFormat="false" ht="15" hidden="false" customHeight="false" outlineLevel="0" collapsed="false">
      <c r="A20" s="7" t="s">
        <v>64</v>
      </c>
      <c r="B20" s="16" t="n">
        <v>0.015</v>
      </c>
      <c r="C20" s="7" t="s">
        <v>65</v>
      </c>
      <c r="D20" s="13" t="s">
        <v>66</v>
      </c>
    </row>
    <row r="21" customFormat="false" ht="15" hidden="false" customHeight="false" outlineLevel="0" collapsed="false">
      <c r="A21" s="7" t="s">
        <v>67</v>
      </c>
      <c r="B21" s="15" t="n">
        <v>0.25</v>
      </c>
      <c r="C21" s="7" t="s">
        <v>68</v>
      </c>
      <c r="D21" s="13" t="s">
        <v>69</v>
      </c>
    </row>
    <row r="22" customFormat="false" ht="15" hidden="false" customHeight="false" outlineLevel="0" collapsed="false">
      <c r="A22" s="7" t="s">
        <v>70</v>
      </c>
      <c r="B22" s="16" t="n">
        <v>0.007</v>
      </c>
      <c r="C22" s="7" t="s">
        <v>65</v>
      </c>
      <c r="D22" s="13" t="s">
        <v>71</v>
      </c>
    </row>
    <row r="23" customFormat="false" ht="15" hidden="false" customHeight="false" outlineLevel="0" collapsed="false">
      <c r="A23" s="3" t="s">
        <v>72</v>
      </c>
      <c r="B23" s="4"/>
      <c r="C23" s="4"/>
      <c r="D23" s="4"/>
    </row>
    <row r="24" customFormat="false" ht="26.85" hidden="false" customHeight="false" outlineLevel="0" collapsed="false">
      <c r="A24" s="7" t="s">
        <v>73</v>
      </c>
      <c r="B24" s="17" t="n">
        <v>0.27</v>
      </c>
      <c r="C24" s="7" t="s">
        <v>74</v>
      </c>
      <c r="D24" s="13" t="s">
        <v>75</v>
      </c>
    </row>
    <row r="25" customFormat="false" ht="15" hidden="false" customHeight="false" outlineLevel="0" collapsed="false">
      <c r="A25" s="7" t="s">
        <v>76</v>
      </c>
      <c r="B25" s="18" t="n">
        <v>1.33</v>
      </c>
      <c r="C25" s="7" t="s">
        <v>74</v>
      </c>
      <c r="D25" s="13" t="s">
        <v>77</v>
      </c>
    </row>
    <row r="26" customFormat="false" ht="15" hidden="false" customHeight="false" outlineLevel="0" collapsed="false">
      <c r="A26" s="7" t="s">
        <v>78</v>
      </c>
      <c r="B26" s="17" t="n">
        <v>0.44</v>
      </c>
      <c r="C26" s="7" t="s">
        <v>74</v>
      </c>
      <c r="D26" s="13" t="s">
        <v>79</v>
      </c>
    </row>
    <row r="27" customFormat="false" ht="26.85" hidden="false" customHeight="false" outlineLevel="0" collapsed="false">
      <c r="A27" s="7" t="s">
        <v>80</v>
      </c>
      <c r="B27" s="17" t="n">
        <v>3.2</v>
      </c>
      <c r="C27" s="7" t="s">
        <v>74</v>
      </c>
      <c r="D27" s="13" t="s">
        <v>81</v>
      </c>
    </row>
    <row r="28" customFormat="false" ht="15" hidden="false" customHeight="false" outlineLevel="0" collapsed="false">
      <c r="A28" s="7" t="s">
        <v>82</v>
      </c>
      <c r="B28" s="15" t="n">
        <v>0.01</v>
      </c>
      <c r="C28" s="7" t="s">
        <v>41</v>
      </c>
      <c r="D28" s="13" t="s">
        <v>83</v>
      </c>
    </row>
    <row r="29" customFormat="false" ht="15" hidden="false" customHeight="false" outlineLevel="0" collapsed="false">
      <c r="A29" s="7" t="s">
        <v>84</v>
      </c>
      <c r="B29" s="15" t="n">
        <v>0.02</v>
      </c>
      <c r="C29" s="7" t="s">
        <v>41</v>
      </c>
      <c r="D29" s="13" t="s">
        <v>85</v>
      </c>
    </row>
    <row r="30" customFormat="false" ht="15" hidden="false" customHeight="false" outlineLevel="0" collapsed="false">
      <c r="A30" s="3" t="s">
        <v>86</v>
      </c>
      <c r="B30" s="4"/>
      <c r="C30" s="4"/>
      <c r="D30" s="4"/>
    </row>
    <row r="31" customFormat="false" ht="15" hidden="false" customHeight="false" outlineLevel="0" collapsed="false">
      <c r="A31" s="7" t="s">
        <v>87</v>
      </c>
      <c r="B31" s="19" t="n">
        <v>2000</v>
      </c>
      <c r="C31" s="7" t="s">
        <v>88</v>
      </c>
      <c r="D31" s="13" t="s">
        <v>89</v>
      </c>
    </row>
    <row r="32" customFormat="false" ht="15" hidden="false" customHeight="false" outlineLevel="0" collapsed="false">
      <c r="A32" s="7" t="s">
        <v>90</v>
      </c>
      <c r="B32" s="19" t="n">
        <v>20000</v>
      </c>
      <c r="C32" s="7" t="s">
        <v>88</v>
      </c>
      <c r="D32" s="13"/>
    </row>
    <row r="33" customFormat="false" ht="15" hidden="false" customHeight="false" outlineLevel="0" collapsed="false">
      <c r="A33" s="3" t="s">
        <v>91</v>
      </c>
      <c r="B33" s="4"/>
      <c r="C33" s="4"/>
      <c r="D33" s="4"/>
    </row>
    <row r="34" customFormat="false" ht="15" hidden="false" customHeight="false" outlineLevel="0" collapsed="false">
      <c r="A34" s="7" t="s">
        <v>92</v>
      </c>
      <c r="B34" s="16" t="n">
        <v>0.205</v>
      </c>
      <c r="C34" s="7" t="s">
        <v>37</v>
      </c>
      <c r="D34" s="13" t="s">
        <v>93</v>
      </c>
    </row>
    <row r="35" customFormat="false" ht="26.85" hidden="false" customHeight="false" outlineLevel="0" collapsed="false">
      <c r="A35" s="7" t="s">
        <v>94</v>
      </c>
      <c r="B35" s="20" t="n">
        <v>0</v>
      </c>
      <c r="C35" s="7" t="s">
        <v>41</v>
      </c>
      <c r="D35" s="13" t="s">
        <v>95</v>
      </c>
    </row>
    <row r="37" customFormat="false" ht="15" hidden="false" customHeight="false" outlineLevel="0" collapsed="false">
      <c r="A37" s="21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9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15" hidden="false" customHeight="false" outlineLevel="0" collapsed="false">
      <c r="A4" s="11" t="s">
        <v>99</v>
      </c>
      <c r="B4" s="11" t="s">
        <v>100</v>
      </c>
      <c r="C4" s="11" t="s">
        <v>101</v>
      </c>
      <c r="D4" s="11" t="s">
        <v>102</v>
      </c>
      <c r="E4" s="11" t="s">
        <v>103</v>
      </c>
      <c r="F4" s="11" t="s">
        <v>104</v>
      </c>
      <c r="G4" s="11" t="s">
        <v>105</v>
      </c>
      <c r="H4" s="11" t="s">
        <v>106</v>
      </c>
      <c r="I4" s="11" t="s">
        <v>107</v>
      </c>
      <c r="J4" s="11" t="s">
        <v>108</v>
      </c>
      <c r="K4" s="11" t="s">
        <v>109</v>
      </c>
    </row>
    <row r="5" customFormat="false" ht="15" hidden="false" customHeight="false" outlineLevel="0" collapsed="false">
      <c r="A5" s="7" t="s">
        <v>110</v>
      </c>
      <c r="B5" s="7" t="s">
        <v>111</v>
      </c>
      <c r="C5" s="22" t="s">
        <v>112</v>
      </c>
      <c r="D5" s="23" t="s">
        <v>113</v>
      </c>
      <c r="E5" s="24" t="n">
        <v>111.5</v>
      </c>
      <c r="F5" s="24" t="n">
        <v>111.5</v>
      </c>
      <c r="G5" s="24" t="n">
        <v>111.5</v>
      </c>
      <c r="H5" s="25" t="n">
        <f aca="false">E5*IF($D5="USD",Assumptions!$B$6,1)</f>
        <v>111.5</v>
      </c>
      <c r="I5" s="25" t="n">
        <f aca="false">F5*IF($D5="USD",Assumptions!$B$6,1)</f>
        <v>111.5</v>
      </c>
      <c r="J5" s="25" t="n">
        <f aca="false">G5*IF($D5="USD",Assumptions!$B$6,1)</f>
        <v>111.5</v>
      </c>
      <c r="K5" s="13" t="s">
        <v>114</v>
      </c>
    </row>
    <row r="6" customFormat="false" ht="15" hidden="false" customHeight="false" outlineLevel="0" collapsed="false">
      <c r="A6" s="7" t="s">
        <v>115</v>
      </c>
      <c r="B6" s="7" t="s">
        <v>111</v>
      </c>
      <c r="C6" s="22" t="s">
        <v>112</v>
      </c>
      <c r="D6" s="23" t="s">
        <v>113</v>
      </c>
      <c r="E6" s="24" t="n">
        <v>0</v>
      </c>
      <c r="F6" s="24" t="n">
        <v>0</v>
      </c>
      <c r="G6" s="24" t="n">
        <v>0</v>
      </c>
      <c r="H6" s="25" t="n">
        <f aca="false">E6*IF($D6="USD",Assumptions!$B$6,1)</f>
        <v>0</v>
      </c>
      <c r="I6" s="25" t="n">
        <f aca="false">F6*IF($D6="USD",Assumptions!$B$6,1)</f>
        <v>0</v>
      </c>
      <c r="J6" s="25" t="n">
        <f aca="false">G6*IF($D6="USD",Assumptions!$B$6,1)</f>
        <v>0</v>
      </c>
      <c r="K6" s="13" t="s">
        <v>116</v>
      </c>
    </row>
    <row r="7" customFormat="false" ht="15" hidden="false" customHeight="false" outlineLevel="0" collapsed="false">
      <c r="A7" s="7" t="s">
        <v>117</v>
      </c>
      <c r="B7" s="7" t="s">
        <v>111</v>
      </c>
      <c r="C7" s="22" t="s">
        <v>112</v>
      </c>
      <c r="D7" s="23" t="s">
        <v>113</v>
      </c>
      <c r="E7" s="24" t="n">
        <v>0</v>
      </c>
      <c r="F7" s="24" t="n">
        <v>0</v>
      </c>
      <c r="G7" s="24" t="n">
        <v>0</v>
      </c>
      <c r="H7" s="25" t="n">
        <f aca="false">E7*IF($D7="USD",Assumptions!$B$6,1)</f>
        <v>0</v>
      </c>
      <c r="I7" s="25" t="n">
        <f aca="false">F7*IF($D7="USD",Assumptions!$B$6,1)</f>
        <v>0</v>
      </c>
      <c r="J7" s="25" t="n">
        <f aca="false">G7*IF($D7="USD",Assumptions!$B$6,1)</f>
        <v>0</v>
      </c>
      <c r="K7" s="13" t="s">
        <v>118</v>
      </c>
    </row>
    <row r="8" customFormat="false" ht="26.85" hidden="false" customHeight="false" outlineLevel="0" collapsed="false">
      <c r="A8" s="7" t="s">
        <v>119</v>
      </c>
      <c r="B8" s="7" t="s">
        <v>111</v>
      </c>
      <c r="C8" s="22" t="s">
        <v>120</v>
      </c>
      <c r="D8" s="23" t="s">
        <v>113</v>
      </c>
      <c r="E8" s="24" t="n">
        <v>1000</v>
      </c>
      <c r="F8" s="24" t="n">
        <v>1400</v>
      </c>
      <c r="G8" s="24" t="n">
        <v>2000</v>
      </c>
      <c r="H8" s="25" t="n">
        <f aca="false">E8*IF($D8="USD",Assumptions!$B$6,1)</f>
        <v>1000</v>
      </c>
      <c r="I8" s="25" t="n">
        <f aca="false">F8*IF($D8="USD",Assumptions!$B$6,1)</f>
        <v>1400</v>
      </c>
      <c r="J8" s="25" t="n">
        <f aca="false">G8*IF($D8="USD",Assumptions!$B$6,1)</f>
        <v>2000</v>
      </c>
      <c r="K8" s="13" t="s">
        <v>121</v>
      </c>
    </row>
    <row r="9" customFormat="false" ht="15" hidden="false" customHeight="false" outlineLevel="0" collapsed="false">
      <c r="A9" s="7" t="s">
        <v>122</v>
      </c>
      <c r="B9" s="7" t="s">
        <v>111</v>
      </c>
      <c r="C9" s="22" t="s">
        <v>112</v>
      </c>
      <c r="D9" s="23" t="s">
        <v>113</v>
      </c>
      <c r="E9" s="24" t="n">
        <v>271</v>
      </c>
      <c r="F9" s="24" t="n">
        <v>271</v>
      </c>
      <c r="G9" s="24" t="n">
        <v>271</v>
      </c>
      <c r="H9" s="25" t="n">
        <f aca="false">E9*IF($D9="USD",Assumptions!$B$6,1)</f>
        <v>271</v>
      </c>
      <c r="I9" s="25" t="n">
        <f aca="false">F9*IF($D9="USD",Assumptions!$B$6,1)</f>
        <v>271</v>
      </c>
      <c r="J9" s="25" t="n">
        <f aca="false">G9*IF($D9="USD",Assumptions!$B$6,1)</f>
        <v>271</v>
      </c>
      <c r="K9" s="13" t="s">
        <v>123</v>
      </c>
    </row>
    <row r="10" customFormat="false" ht="15" hidden="false" customHeight="false" outlineLevel="0" collapsed="false">
      <c r="A10" s="7" t="s">
        <v>124</v>
      </c>
      <c r="B10" s="7" t="s">
        <v>111</v>
      </c>
      <c r="C10" s="22" t="s">
        <v>120</v>
      </c>
      <c r="D10" s="23" t="s">
        <v>113</v>
      </c>
      <c r="E10" s="24" t="n">
        <v>900</v>
      </c>
      <c r="F10" s="24" t="n">
        <v>900</v>
      </c>
      <c r="G10" s="24" t="n">
        <v>900</v>
      </c>
      <c r="H10" s="25" t="n">
        <f aca="false">E10*IF($D10="USD",Assumptions!$B$6,1)</f>
        <v>900</v>
      </c>
      <c r="I10" s="25" t="n">
        <f aca="false">F10*IF($D10="USD",Assumptions!$B$6,1)</f>
        <v>900</v>
      </c>
      <c r="J10" s="25" t="n">
        <f aca="false">G10*IF($D10="USD",Assumptions!$B$6,1)</f>
        <v>900</v>
      </c>
      <c r="K10" s="13" t="s">
        <v>125</v>
      </c>
    </row>
    <row r="11" customFormat="false" ht="15" hidden="false" customHeight="false" outlineLevel="0" collapsed="false">
      <c r="A11" s="7" t="s">
        <v>126</v>
      </c>
      <c r="B11" s="7" t="s">
        <v>111</v>
      </c>
      <c r="C11" s="22" t="s">
        <v>120</v>
      </c>
      <c r="D11" s="23" t="s">
        <v>113</v>
      </c>
      <c r="E11" s="24" t="n">
        <v>0</v>
      </c>
      <c r="F11" s="24" t="n">
        <v>0</v>
      </c>
      <c r="G11" s="24" t="n">
        <v>500</v>
      </c>
      <c r="H11" s="25" t="n">
        <f aca="false">E11*IF($D11="USD",Assumptions!$B$6,1)</f>
        <v>0</v>
      </c>
      <c r="I11" s="25" t="n">
        <f aca="false">F11*IF($D11="USD",Assumptions!$B$6,1)</f>
        <v>0</v>
      </c>
      <c r="J11" s="25" t="n">
        <f aca="false">G11*IF($D11="USD",Assumptions!$B$6,1)</f>
        <v>500</v>
      </c>
      <c r="K11" s="13" t="s">
        <v>127</v>
      </c>
    </row>
    <row r="12" customFormat="false" ht="15" hidden="false" customHeight="false" outlineLevel="0" collapsed="false">
      <c r="A12" s="7" t="s">
        <v>128</v>
      </c>
      <c r="B12" s="7" t="s">
        <v>111</v>
      </c>
      <c r="C12" s="22" t="s">
        <v>112</v>
      </c>
      <c r="D12" s="23" t="s">
        <v>113</v>
      </c>
      <c r="E12" s="24" t="n">
        <v>0</v>
      </c>
      <c r="F12" s="24" t="n">
        <v>400</v>
      </c>
      <c r="G12" s="24" t="n">
        <v>1500</v>
      </c>
      <c r="H12" s="25" t="n">
        <f aca="false">E12*IF($D12="USD",Assumptions!$B$6,1)</f>
        <v>0</v>
      </c>
      <c r="I12" s="25" t="n">
        <f aca="false">F12*IF($D12="USD",Assumptions!$B$6,1)</f>
        <v>400</v>
      </c>
      <c r="J12" s="25" t="n">
        <f aca="false">G12*IF($D12="USD",Assumptions!$B$6,1)</f>
        <v>1500</v>
      </c>
      <c r="K12" s="13" t="s">
        <v>129</v>
      </c>
    </row>
    <row r="13" customFormat="false" ht="15" hidden="false" customHeight="false" outlineLevel="0" collapsed="false">
      <c r="A13" s="7" t="s">
        <v>130</v>
      </c>
      <c r="B13" s="7" t="s">
        <v>111</v>
      </c>
      <c r="C13" s="22" t="s">
        <v>112</v>
      </c>
      <c r="D13" s="23" t="s">
        <v>113</v>
      </c>
      <c r="E13" s="24" t="n">
        <v>0</v>
      </c>
      <c r="F13" s="24" t="n">
        <v>150</v>
      </c>
      <c r="G13" s="24" t="n">
        <v>300</v>
      </c>
      <c r="H13" s="25" t="n">
        <f aca="false">E13*IF($D13="USD",Assumptions!$B$6,1)</f>
        <v>0</v>
      </c>
      <c r="I13" s="25" t="n">
        <f aca="false">F13*IF($D13="USD",Assumptions!$B$6,1)</f>
        <v>150</v>
      </c>
      <c r="J13" s="25" t="n">
        <f aca="false">G13*IF($D13="USD",Assumptions!$B$6,1)</f>
        <v>300</v>
      </c>
      <c r="K13" s="13" t="s">
        <v>131</v>
      </c>
    </row>
    <row r="14" customFormat="false" ht="15" hidden="false" customHeight="false" outlineLevel="0" collapsed="false">
      <c r="A14" s="7" t="s">
        <v>132</v>
      </c>
      <c r="B14" s="7" t="s">
        <v>133</v>
      </c>
      <c r="C14" s="22" t="s">
        <v>112</v>
      </c>
      <c r="D14" s="23" t="s">
        <v>134</v>
      </c>
      <c r="E14" s="24" t="n">
        <v>25</v>
      </c>
      <c r="F14" s="24" t="n">
        <v>25</v>
      </c>
      <c r="G14" s="24" t="n">
        <v>25</v>
      </c>
      <c r="H14" s="25" t="n">
        <f aca="false">E14*IF($D14="USD",Assumptions!$B$6,1)</f>
        <v>21.5</v>
      </c>
      <c r="I14" s="25" t="n">
        <f aca="false">F14*IF($D14="USD",Assumptions!$B$6,1)</f>
        <v>21.5</v>
      </c>
      <c r="J14" s="25" t="n">
        <f aca="false">G14*IF($D14="USD",Assumptions!$B$6,1)</f>
        <v>21.5</v>
      </c>
      <c r="K14" s="13" t="s">
        <v>135</v>
      </c>
    </row>
    <row r="15" customFormat="false" ht="15" hidden="false" customHeight="false" outlineLevel="0" collapsed="false">
      <c r="A15" s="7" t="s">
        <v>136</v>
      </c>
      <c r="B15" s="7" t="s">
        <v>133</v>
      </c>
      <c r="C15" s="22" t="s">
        <v>120</v>
      </c>
      <c r="D15" s="23" t="s">
        <v>113</v>
      </c>
      <c r="E15" s="24" t="n">
        <v>0</v>
      </c>
      <c r="F15" s="24" t="n">
        <v>0</v>
      </c>
      <c r="G15" s="24" t="n">
        <v>700</v>
      </c>
      <c r="H15" s="25" t="n">
        <f aca="false">E15*IF($D15="USD",Assumptions!$B$6,1)</f>
        <v>0</v>
      </c>
      <c r="I15" s="25" t="n">
        <f aca="false">F15*IF($D15="USD",Assumptions!$B$6,1)</f>
        <v>0</v>
      </c>
      <c r="J15" s="25" t="n">
        <f aca="false">G15*IF($D15="USD",Assumptions!$B$6,1)</f>
        <v>700</v>
      </c>
      <c r="K15" s="13" t="s">
        <v>137</v>
      </c>
    </row>
    <row r="16" customFormat="false" ht="15" hidden="false" customHeight="false" outlineLevel="0" collapsed="false">
      <c r="A16" s="7" t="s">
        <v>138</v>
      </c>
      <c r="B16" s="7" t="s">
        <v>133</v>
      </c>
      <c r="C16" s="22" t="s">
        <v>120</v>
      </c>
      <c r="D16" s="23" t="s">
        <v>113</v>
      </c>
      <c r="E16" s="24" t="n">
        <v>0</v>
      </c>
      <c r="F16" s="24" t="n">
        <v>150</v>
      </c>
      <c r="G16" s="24" t="n">
        <v>400</v>
      </c>
      <c r="H16" s="25" t="n">
        <f aca="false">E16*IF($D16="USD",Assumptions!$B$6,1)</f>
        <v>0</v>
      </c>
      <c r="I16" s="25" t="n">
        <f aca="false">F16*IF($D16="USD",Assumptions!$B$6,1)</f>
        <v>150</v>
      </c>
      <c r="J16" s="25" t="n">
        <f aca="false">G16*IF($D16="USD",Assumptions!$B$6,1)</f>
        <v>400</v>
      </c>
      <c r="K16" s="13"/>
    </row>
    <row r="17" customFormat="false" ht="15" hidden="false" customHeight="false" outlineLevel="0" collapsed="false">
      <c r="A17" s="7" t="s">
        <v>139</v>
      </c>
      <c r="B17" s="7" t="s">
        <v>133</v>
      </c>
      <c r="C17" s="22" t="s">
        <v>112</v>
      </c>
      <c r="D17" s="23" t="s">
        <v>134</v>
      </c>
      <c r="E17" s="24" t="n">
        <v>4</v>
      </c>
      <c r="F17" s="24" t="n">
        <v>5</v>
      </c>
      <c r="G17" s="24" t="n">
        <v>10</v>
      </c>
      <c r="H17" s="25" t="n">
        <f aca="false">E17*IF($D17="USD",Assumptions!$B$6,1)</f>
        <v>3.44</v>
      </c>
      <c r="I17" s="25" t="n">
        <f aca="false">F17*IF($D17="USD",Assumptions!$B$6,1)</f>
        <v>4.3</v>
      </c>
      <c r="J17" s="25" t="n">
        <f aca="false">G17*IF($D17="USD",Assumptions!$B$6,1)</f>
        <v>8.6</v>
      </c>
      <c r="K17" s="13" t="s">
        <v>140</v>
      </c>
    </row>
    <row r="18" customFormat="false" ht="15" hidden="false" customHeight="false" outlineLevel="0" collapsed="false">
      <c r="A18" s="7" t="s">
        <v>141</v>
      </c>
      <c r="B18" s="7" t="s">
        <v>133</v>
      </c>
      <c r="C18" s="22" t="s">
        <v>112</v>
      </c>
      <c r="D18" s="23" t="s">
        <v>113</v>
      </c>
      <c r="E18" s="24" t="n">
        <v>0</v>
      </c>
      <c r="F18" s="24" t="n">
        <v>0</v>
      </c>
      <c r="G18" s="24" t="n">
        <v>0</v>
      </c>
      <c r="H18" s="25" t="n">
        <f aca="false">E18*IF($D18="USD",Assumptions!$B$6,1)</f>
        <v>0</v>
      </c>
      <c r="I18" s="25" t="n">
        <f aca="false">F18*IF($D18="USD",Assumptions!$B$6,1)</f>
        <v>0</v>
      </c>
      <c r="J18" s="25" t="n">
        <f aca="false">G18*IF($D18="USD",Assumptions!$B$6,1)</f>
        <v>0</v>
      </c>
      <c r="K18" s="13" t="s">
        <v>142</v>
      </c>
    </row>
    <row r="19" customFormat="false" ht="26.85" hidden="false" customHeight="false" outlineLevel="0" collapsed="false">
      <c r="A19" s="7" t="s">
        <v>143</v>
      </c>
      <c r="B19" s="7" t="s">
        <v>133</v>
      </c>
      <c r="C19" s="22" t="s">
        <v>112</v>
      </c>
      <c r="D19" s="23" t="s">
        <v>113</v>
      </c>
      <c r="E19" s="24" t="n">
        <v>0</v>
      </c>
      <c r="F19" s="24" t="n">
        <v>0</v>
      </c>
      <c r="G19" s="24" t="n">
        <v>0</v>
      </c>
      <c r="H19" s="25" t="n">
        <f aca="false">E19*IF($D19="USD",Assumptions!$B$6,1)</f>
        <v>0</v>
      </c>
      <c r="I19" s="25" t="n">
        <f aca="false">F19*IF($D19="USD",Assumptions!$B$6,1)</f>
        <v>0</v>
      </c>
      <c r="J19" s="25" t="n">
        <f aca="false">G19*IF($D19="USD",Assumptions!$B$6,1)</f>
        <v>0</v>
      </c>
      <c r="K19" s="13" t="s">
        <v>144</v>
      </c>
    </row>
    <row r="20" customFormat="false" ht="15" hidden="false" customHeight="false" outlineLevel="0" collapsed="false">
      <c r="A20" s="7" t="s">
        <v>145</v>
      </c>
      <c r="B20" s="7" t="s">
        <v>146</v>
      </c>
      <c r="C20" s="22" t="s">
        <v>120</v>
      </c>
      <c r="D20" s="23" t="s">
        <v>113</v>
      </c>
      <c r="E20" s="24" t="n">
        <v>0</v>
      </c>
      <c r="F20" s="24" t="n">
        <v>300</v>
      </c>
      <c r="G20" s="24" t="n">
        <v>1500</v>
      </c>
      <c r="H20" s="25" t="n">
        <f aca="false">E20*IF($D20="USD",Assumptions!$B$6,1)</f>
        <v>0</v>
      </c>
      <c r="I20" s="25" t="n">
        <f aca="false">F20*IF($D20="USD",Assumptions!$B$6,1)</f>
        <v>300</v>
      </c>
      <c r="J20" s="25" t="n">
        <f aca="false">G20*IF($D20="USD",Assumptions!$B$6,1)</f>
        <v>1500</v>
      </c>
      <c r="K20" s="13" t="s">
        <v>147</v>
      </c>
    </row>
    <row r="22" customFormat="false" ht="15" hidden="false" customHeight="false" outlineLevel="0" collapsed="false">
      <c r="A22" s="5" t="s">
        <v>148</v>
      </c>
      <c r="H22" s="26" t="n">
        <f aca="false">SUMIFS(H5:H20,$C$5:$C$20,"Y")</f>
        <v>407.44</v>
      </c>
      <c r="I22" s="26" t="n">
        <f aca="false">SUMIFS(I5:I20,$C$5:$C$20,"Y")</f>
        <v>958.3</v>
      </c>
      <c r="J22" s="26" t="n">
        <f aca="false">SUMIFS(J5:J20,$C$5:$C$20,"Y")</f>
        <v>2212.6</v>
      </c>
    </row>
    <row r="23" customFormat="false" ht="15" hidden="false" customHeight="false" outlineLevel="0" collapsed="false">
      <c r="A23" s="5" t="s">
        <v>149</v>
      </c>
      <c r="H23" s="26" t="n">
        <f aca="false">SUM(H5:H20)</f>
        <v>2307.44</v>
      </c>
      <c r="I23" s="26" t="n">
        <f aca="false">SUM(I5:I20)</f>
        <v>3708.3</v>
      </c>
      <c r="J23" s="26" t="n">
        <f aca="false">SUM(J5:J20)</f>
        <v>8212.6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1"/>
    <col collapsed="false" customWidth="true" hidden="false" outlineLevel="0" max="8" min="4" style="0" width="9"/>
    <col collapsed="false" customWidth="true" hidden="false" outlineLevel="0" max="11" min="9" style="0" width="13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15" hidden="false" customHeight="false" outlineLevel="0" collapsed="false">
      <c r="A4" s="11" t="s">
        <v>99</v>
      </c>
      <c r="B4" s="11" t="s">
        <v>100</v>
      </c>
      <c r="C4" s="11" t="s">
        <v>101</v>
      </c>
      <c r="D4" s="11" t="s">
        <v>102</v>
      </c>
      <c r="E4" s="11" t="s">
        <v>152</v>
      </c>
      <c r="F4" s="11" t="s">
        <v>153</v>
      </c>
      <c r="G4" s="11" t="s">
        <v>154</v>
      </c>
      <c r="H4" s="11" t="s">
        <v>155</v>
      </c>
      <c r="I4" s="11" t="s">
        <v>156</v>
      </c>
      <c r="J4" s="11" t="s">
        <v>157</v>
      </c>
      <c r="K4" s="11" t="s">
        <v>158</v>
      </c>
      <c r="L4" s="11" t="s">
        <v>109</v>
      </c>
    </row>
    <row r="5" customFormat="false" ht="15" hidden="false" customHeight="false" outlineLevel="0" collapsed="false">
      <c r="A5" s="7" t="s">
        <v>159</v>
      </c>
      <c r="B5" s="7" t="s">
        <v>160</v>
      </c>
      <c r="C5" s="22" t="s">
        <v>112</v>
      </c>
      <c r="D5" s="23" t="s">
        <v>134</v>
      </c>
      <c r="E5" s="23" t="s">
        <v>161</v>
      </c>
      <c r="F5" s="24" t="n">
        <v>7</v>
      </c>
      <c r="G5" s="24" t="n">
        <v>25</v>
      </c>
      <c r="H5" s="24" t="n">
        <v>85</v>
      </c>
      <c r="I5" s="25" t="n">
        <f aca="false">F5*IF($D5="USD",Assumptions!$B$6,1)/IF($E5="year",12,1)</f>
        <v>6.02</v>
      </c>
      <c r="J5" s="25" t="n">
        <f aca="false">G5*IF($D5="USD",Assumptions!$B$6,1)/IF($E5="year",12,1)</f>
        <v>21.5</v>
      </c>
      <c r="K5" s="25" t="n">
        <f aca="false">H5*IF($D5="USD",Assumptions!$B$6,1)/IF($E5="year",12,1)</f>
        <v>73.1</v>
      </c>
      <c r="L5" s="13" t="s">
        <v>162</v>
      </c>
    </row>
    <row r="6" customFormat="false" ht="15" hidden="false" customHeight="false" outlineLevel="0" collapsed="false">
      <c r="A6" s="7" t="s">
        <v>163</v>
      </c>
      <c r="B6" s="7" t="s">
        <v>160</v>
      </c>
      <c r="C6" s="22" t="s">
        <v>112</v>
      </c>
      <c r="D6" s="23" t="s">
        <v>134</v>
      </c>
      <c r="E6" s="23" t="s">
        <v>161</v>
      </c>
      <c r="F6" s="24" t="n">
        <v>0.25</v>
      </c>
      <c r="G6" s="24" t="n">
        <v>1.25</v>
      </c>
      <c r="H6" s="24" t="n">
        <v>5</v>
      </c>
      <c r="I6" s="25" t="n">
        <f aca="false">F6*IF($D6="USD",Assumptions!$B$6,1)/IF($E6="year",12,1)</f>
        <v>0.215</v>
      </c>
      <c r="J6" s="25" t="n">
        <f aca="false">G6*IF($D6="USD",Assumptions!$B$6,1)/IF($E6="year",12,1)</f>
        <v>1.075</v>
      </c>
      <c r="K6" s="25" t="n">
        <f aca="false">H6*IF($D6="USD",Assumptions!$B$6,1)/IF($E6="year",12,1)</f>
        <v>4.3</v>
      </c>
      <c r="L6" s="13" t="s">
        <v>164</v>
      </c>
    </row>
    <row r="7" customFormat="false" ht="15" hidden="false" customHeight="false" outlineLevel="0" collapsed="false">
      <c r="A7" s="7" t="s">
        <v>165</v>
      </c>
      <c r="B7" s="7" t="s">
        <v>160</v>
      </c>
      <c r="C7" s="22" t="s">
        <v>112</v>
      </c>
      <c r="D7" s="23" t="s">
        <v>134</v>
      </c>
      <c r="E7" s="23" t="s">
        <v>161</v>
      </c>
      <c r="F7" s="24" t="n">
        <v>7</v>
      </c>
      <c r="G7" s="24" t="n">
        <v>25</v>
      </c>
      <c r="H7" s="24" t="n">
        <v>25</v>
      </c>
      <c r="I7" s="25" t="n">
        <f aca="false">F7*IF($D7="USD",Assumptions!$B$6,1)/IF($E7="year",12,1)</f>
        <v>6.02</v>
      </c>
      <c r="J7" s="25" t="n">
        <f aca="false">G7*IF($D7="USD",Assumptions!$B$6,1)/IF($E7="year",12,1)</f>
        <v>21.5</v>
      </c>
      <c r="K7" s="25" t="n">
        <f aca="false">H7*IF($D7="USD",Assumptions!$B$6,1)/IF($E7="year",12,1)</f>
        <v>21.5</v>
      </c>
      <c r="L7" s="13" t="s">
        <v>166</v>
      </c>
    </row>
    <row r="8" customFormat="false" ht="15" hidden="false" customHeight="false" outlineLevel="0" collapsed="false">
      <c r="A8" s="7" t="s">
        <v>167</v>
      </c>
      <c r="B8" s="7" t="s">
        <v>160</v>
      </c>
      <c r="C8" s="22" t="s">
        <v>112</v>
      </c>
      <c r="D8" s="23" t="s">
        <v>134</v>
      </c>
      <c r="E8" s="23" t="s">
        <v>161</v>
      </c>
      <c r="F8" s="24" t="n">
        <v>0</v>
      </c>
      <c r="G8" s="24" t="n">
        <v>0</v>
      </c>
      <c r="H8" s="24" t="n">
        <v>19</v>
      </c>
      <c r="I8" s="25" t="n">
        <f aca="false">F8*IF($D8="USD",Assumptions!$B$6,1)/IF($E8="year",12,1)</f>
        <v>0</v>
      </c>
      <c r="J8" s="25" t="n">
        <f aca="false">G8*IF($D8="USD",Assumptions!$B$6,1)/IF($E8="year",12,1)</f>
        <v>0</v>
      </c>
      <c r="K8" s="25" t="n">
        <f aca="false">H8*IF($D8="USD",Assumptions!$B$6,1)/IF($E8="year",12,1)</f>
        <v>16.34</v>
      </c>
      <c r="L8" s="13" t="s">
        <v>168</v>
      </c>
    </row>
    <row r="9" customFormat="false" ht="15" hidden="false" customHeight="false" outlineLevel="0" collapsed="false">
      <c r="A9" s="7" t="s">
        <v>169</v>
      </c>
      <c r="B9" s="7" t="s">
        <v>160</v>
      </c>
      <c r="C9" s="22" t="s">
        <v>112</v>
      </c>
      <c r="D9" s="23" t="s">
        <v>134</v>
      </c>
      <c r="E9" s="23" t="s">
        <v>161</v>
      </c>
      <c r="F9" s="24" t="n">
        <v>20</v>
      </c>
      <c r="G9" s="24" t="n">
        <v>20</v>
      </c>
      <c r="H9" s="24" t="n">
        <v>20</v>
      </c>
      <c r="I9" s="25" t="n">
        <f aca="false">F9*IF($D9="USD",Assumptions!$B$6,1)/IF($E9="year",12,1)</f>
        <v>17.2</v>
      </c>
      <c r="J9" s="25" t="n">
        <f aca="false">G9*IF($D9="USD",Assumptions!$B$6,1)/IF($E9="year",12,1)</f>
        <v>17.2</v>
      </c>
      <c r="K9" s="25" t="n">
        <f aca="false">H9*IF($D9="USD",Assumptions!$B$6,1)/IF($E9="year",12,1)</f>
        <v>17.2</v>
      </c>
      <c r="L9" s="13" t="s">
        <v>170</v>
      </c>
    </row>
    <row r="10" customFormat="false" ht="26.85" hidden="false" customHeight="false" outlineLevel="0" collapsed="false">
      <c r="A10" s="7" t="s">
        <v>171</v>
      </c>
      <c r="B10" s="7" t="s">
        <v>160</v>
      </c>
      <c r="C10" s="22" t="s">
        <v>112</v>
      </c>
      <c r="D10" s="23" t="s">
        <v>134</v>
      </c>
      <c r="E10" s="23" t="s">
        <v>161</v>
      </c>
      <c r="F10" s="24" t="n">
        <v>25</v>
      </c>
      <c r="G10" s="24" t="n">
        <v>30</v>
      </c>
      <c r="H10" s="24" t="n">
        <v>75</v>
      </c>
      <c r="I10" s="25" t="n">
        <f aca="false">F10*IF($D10="USD",Assumptions!$B$6,1)/IF($E10="year",12,1)</f>
        <v>21.5</v>
      </c>
      <c r="J10" s="25" t="n">
        <f aca="false">G10*IF($D10="USD",Assumptions!$B$6,1)/IF($E10="year",12,1)</f>
        <v>25.8</v>
      </c>
      <c r="K10" s="25" t="n">
        <f aca="false">H10*IF($D10="USD",Assumptions!$B$6,1)/IF($E10="year",12,1)</f>
        <v>64.5</v>
      </c>
      <c r="L10" s="13" t="s">
        <v>172</v>
      </c>
    </row>
    <row r="11" customFormat="false" ht="15" hidden="false" customHeight="false" outlineLevel="0" collapsed="false">
      <c r="A11" s="7" t="s">
        <v>173</v>
      </c>
      <c r="B11" s="7" t="s">
        <v>160</v>
      </c>
      <c r="C11" s="22" t="s">
        <v>112</v>
      </c>
      <c r="D11" s="23" t="s">
        <v>134</v>
      </c>
      <c r="E11" s="23" t="s">
        <v>161</v>
      </c>
      <c r="F11" s="24" t="n">
        <v>0</v>
      </c>
      <c r="G11" s="24" t="n">
        <v>20</v>
      </c>
      <c r="H11" s="24" t="n">
        <v>20</v>
      </c>
      <c r="I11" s="25" t="n">
        <f aca="false">F11*IF($D11="USD",Assumptions!$B$6,1)/IF($E11="year",12,1)</f>
        <v>0</v>
      </c>
      <c r="J11" s="25" t="n">
        <f aca="false">G11*IF($D11="USD",Assumptions!$B$6,1)/IF($E11="year",12,1)</f>
        <v>17.2</v>
      </c>
      <c r="K11" s="25" t="n">
        <f aca="false">H11*IF($D11="USD",Assumptions!$B$6,1)/IF($E11="year",12,1)</f>
        <v>17.2</v>
      </c>
      <c r="L11" s="13" t="s">
        <v>174</v>
      </c>
    </row>
    <row r="12" customFormat="false" ht="15" hidden="false" customHeight="false" outlineLevel="0" collapsed="false">
      <c r="A12" s="7" t="s">
        <v>175</v>
      </c>
      <c r="B12" s="7" t="s">
        <v>160</v>
      </c>
      <c r="C12" s="22" t="s">
        <v>112</v>
      </c>
      <c r="D12" s="23" t="s">
        <v>134</v>
      </c>
      <c r="E12" s="23" t="s">
        <v>161</v>
      </c>
      <c r="F12" s="24" t="n">
        <v>0</v>
      </c>
      <c r="G12" s="24" t="n">
        <v>0</v>
      </c>
      <c r="H12" s="24" t="n">
        <v>26</v>
      </c>
      <c r="I12" s="25" t="n">
        <f aca="false">F12*IF($D12="USD",Assumptions!$B$6,1)/IF($E12="year",12,1)</f>
        <v>0</v>
      </c>
      <c r="J12" s="25" t="n">
        <f aca="false">G12*IF($D12="USD",Assumptions!$B$6,1)/IF($E12="year",12,1)</f>
        <v>0</v>
      </c>
      <c r="K12" s="25" t="n">
        <f aca="false">H12*IF($D12="USD",Assumptions!$B$6,1)/IF($E12="year",12,1)</f>
        <v>22.36</v>
      </c>
      <c r="L12" s="13" t="s">
        <v>176</v>
      </c>
    </row>
    <row r="13" customFormat="false" ht="15" hidden="false" customHeight="false" outlineLevel="0" collapsed="false">
      <c r="A13" s="7" t="s">
        <v>177</v>
      </c>
      <c r="B13" s="7" t="s">
        <v>178</v>
      </c>
      <c r="C13" s="22" t="s">
        <v>112</v>
      </c>
      <c r="D13" s="23" t="s">
        <v>134</v>
      </c>
      <c r="E13" s="23" t="s">
        <v>161</v>
      </c>
      <c r="F13" s="24" t="n">
        <v>2</v>
      </c>
      <c r="G13" s="24" t="n">
        <v>5</v>
      </c>
      <c r="H13" s="24" t="n">
        <v>10</v>
      </c>
      <c r="I13" s="25" t="n">
        <f aca="false">F13*IF($D13="USD",Assumptions!$B$6,1)/IF($E13="year",12,1)</f>
        <v>1.72</v>
      </c>
      <c r="J13" s="25" t="n">
        <f aca="false">G13*IF($D13="USD",Assumptions!$B$6,1)/IF($E13="year",12,1)</f>
        <v>4.3</v>
      </c>
      <c r="K13" s="25" t="n">
        <f aca="false">H13*IF($D13="USD",Assumptions!$B$6,1)/IF($E13="year",12,1)</f>
        <v>8.6</v>
      </c>
      <c r="L13" s="13" t="s">
        <v>179</v>
      </c>
    </row>
    <row r="14" customFormat="false" ht="26.85" hidden="false" customHeight="false" outlineLevel="0" collapsed="false">
      <c r="A14" s="7" t="s">
        <v>180</v>
      </c>
      <c r="B14" s="7" t="s">
        <v>178</v>
      </c>
      <c r="C14" s="22" t="s">
        <v>120</v>
      </c>
      <c r="D14" s="23" t="s">
        <v>134</v>
      </c>
      <c r="E14" s="23" t="s">
        <v>161</v>
      </c>
      <c r="F14" s="24" t="n">
        <v>3.5</v>
      </c>
      <c r="G14" s="24" t="n">
        <v>7</v>
      </c>
      <c r="H14" s="24" t="n">
        <v>14</v>
      </c>
      <c r="I14" s="25" t="n">
        <f aca="false">F14*IF($D14="USD",Assumptions!$B$6,1)/IF($E14="year",12,1)</f>
        <v>3.01</v>
      </c>
      <c r="J14" s="25" t="n">
        <f aca="false">G14*IF($D14="USD",Assumptions!$B$6,1)/IF($E14="year",12,1)</f>
        <v>6.02</v>
      </c>
      <c r="K14" s="25" t="n">
        <f aca="false">H14*IF($D14="USD",Assumptions!$B$6,1)/IF($E14="year",12,1)</f>
        <v>12.04</v>
      </c>
      <c r="L14" s="13" t="s">
        <v>181</v>
      </c>
    </row>
    <row r="15" customFormat="false" ht="15" hidden="false" customHeight="false" outlineLevel="0" collapsed="false">
      <c r="A15" s="7" t="s">
        <v>182</v>
      </c>
      <c r="B15" s="7" t="s">
        <v>183</v>
      </c>
      <c r="C15" s="22" t="s">
        <v>112</v>
      </c>
      <c r="D15" s="23" t="s">
        <v>134</v>
      </c>
      <c r="E15" s="23" t="s">
        <v>184</v>
      </c>
      <c r="F15" s="24" t="n">
        <v>15</v>
      </c>
      <c r="G15" s="24" t="n">
        <v>15</v>
      </c>
      <c r="H15" s="24" t="n">
        <v>15</v>
      </c>
      <c r="I15" s="25" t="n">
        <f aca="false">F15*IF($D15="USD",Assumptions!$B$6,1)/IF($E15="year",12,1)</f>
        <v>1.075</v>
      </c>
      <c r="J15" s="25" t="n">
        <f aca="false">G15*IF($D15="USD",Assumptions!$B$6,1)/IF($E15="year",12,1)</f>
        <v>1.075</v>
      </c>
      <c r="K15" s="25" t="n">
        <f aca="false">H15*IF($D15="USD",Assumptions!$B$6,1)/IF($E15="year",12,1)</f>
        <v>1.075</v>
      </c>
      <c r="L15" s="13" t="s">
        <v>185</v>
      </c>
    </row>
    <row r="16" customFormat="false" ht="15" hidden="false" customHeight="false" outlineLevel="0" collapsed="false">
      <c r="A16" s="7" t="s">
        <v>186</v>
      </c>
      <c r="B16" s="7" t="s">
        <v>183</v>
      </c>
      <c r="C16" s="22" t="s">
        <v>112</v>
      </c>
      <c r="D16" s="23" t="s">
        <v>113</v>
      </c>
      <c r="E16" s="23" t="s">
        <v>161</v>
      </c>
      <c r="F16" s="24" t="n">
        <v>0</v>
      </c>
      <c r="G16" s="24" t="n">
        <v>0</v>
      </c>
      <c r="H16" s="24" t="n">
        <v>7</v>
      </c>
      <c r="I16" s="25" t="n">
        <f aca="false">F16*IF($D16="USD",Assumptions!$B$6,1)/IF($E16="year",12,1)</f>
        <v>0</v>
      </c>
      <c r="J16" s="25" t="n">
        <f aca="false">G16*IF($D16="USD",Assumptions!$B$6,1)/IF($E16="year",12,1)</f>
        <v>0</v>
      </c>
      <c r="K16" s="25" t="n">
        <f aca="false">H16*IF($D16="USD",Assumptions!$B$6,1)/IF($E16="year",12,1)</f>
        <v>7</v>
      </c>
      <c r="L16" s="13" t="s">
        <v>187</v>
      </c>
    </row>
    <row r="17" customFormat="false" ht="15" hidden="false" customHeight="false" outlineLevel="0" collapsed="false">
      <c r="A17" s="7" t="s">
        <v>188</v>
      </c>
      <c r="B17" s="7" t="s">
        <v>189</v>
      </c>
      <c r="C17" s="22" t="s">
        <v>112</v>
      </c>
      <c r="D17" s="23" t="s">
        <v>134</v>
      </c>
      <c r="E17" s="23" t="s">
        <v>184</v>
      </c>
      <c r="F17" s="24" t="n">
        <v>99</v>
      </c>
      <c r="G17" s="24" t="n">
        <v>99</v>
      </c>
      <c r="H17" s="24" t="n">
        <v>99</v>
      </c>
      <c r="I17" s="25" t="n">
        <f aca="false">F17*IF($D17="USD",Assumptions!$B$6,1)/IF($E17="year",12,1)</f>
        <v>7.095</v>
      </c>
      <c r="J17" s="25" t="n">
        <f aca="false">G17*IF($D17="USD",Assumptions!$B$6,1)/IF($E17="year",12,1)</f>
        <v>7.095</v>
      </c>
      <c r="K17" s="25" t="n">
        <f aca="false">H17*IF($D17="USD",Assumptions!$B$6,1)/IF($E17="year",12,1)</f>
        <v>7.095</v>
      </c>
      <c r="L17" s="13" t="s">
        <v>190</v>
      </c>
    </row>
    <row r="18" customFormat="false" ht="15" hidden="false" customHeight="false" outlineLevel="0" collapsed="false">
      <c r="A18" s="7" t="s">
        <v>191</v>
      </c>
      <c r="B18" s="7" t="s">
        <v>192</v>
      </c>
      <c r="C18" s="22" t="s">
        <v>112</v>
      </c>
      <c r="D18" s="23" t="s">
        <v>113</v>
      </c>
      <c r="E18" s="23" t="s">
        <v>161</v>
      </c>
      <c r="F18" s="24" t="n">
        <v>80</v>
      </c>
      <c r="G18" s="24" t="n">
        <v>120</v>
      </c>
      <c r="H18" s="24" t="n">
        <v>200</v>
      </c>
      <c r="I18" s="25" t="n">
        <f aca="false">F18*IF($D18="USD",Assumptions!$B$6,1)/IF($E18="year",12,1)</f>
        <v>80</v>
      </c>
      <c r="J18" s="25" t="n">
        <f aca="false">G18*IF($D18="USD",Assumptions!$B$6,1)/IF($E18="year",12,1)</f>
        <v>120</v>
      </c>
      <c r="K18" s="25" t="n">
        <f aca="false">H18*IF($D18="USD",Assumptions!$B$6,1)/IF($E18="year",12,1)</f>
        <v>200</v>
      </c>
      <c r="L18" s="13" t="s">
        <v>193</v>
      </c>
    </row>
    <row r="19" customFormat="false" ht="15" hidden="false" customHeight="false" outlineLevel="0" collapsed="false">
      <c r="A19" s="7" t="s">
        <v>194</v>
      </c>
      <c r="B19" s="7" t="s">
        <v>192</v>
      </c>
      <c r="C19" s="22" t="s">
        <v>112</v>
      </c>
      <c r="D19" s="23" t="s">
        <v>113</v>
      </c>
      <c r="E19" s="23" t="s">
        <v>161</v>
      </c>
      <c r="F19" s="24" t="n">
        <v>5</v>
      </c>
      <c r="G19" s="24" t="n">
        <v>10</v>
      </c>
      <c r="H19" s="24" t="n">
        <v>15</v>
      </c>
      <c r="I19" s="25" t="n">
        <f aca="false">F19*IF($D19="USD",Assumptions!$B$6,1)/IF($E19="year",12,1)</f>
        <v>5</v>
      </c>
      <c r="J19" s="25" t="n">
        <f aca="false">G19*IF($D19="USD",Assumptions!$B$6,1)/IF($E19="year",12,1)</f>
        <v>10</v>
      </c>
      <c r="K19" s="25" t="n">
        <f aca="false">H19*IF($D19="USD",Assumptions!$B$6,1)/IF($E19="year",12,1)</f>
        <v>15</v>
      </c>
      <c r="L19" s="13" t="s">
        <v>195</v>
      </c>
    </row>
    <row r="20" customFormat="false" ht="15" hidden="false" customHeight="false" outlineLevel="0" collapsed="false">
      <c r="A20" s="7" t="s">
        <v>196</v>
      </c>
      <c r="B20" s="7" t="s">
        <v>192</v>
      </c>
      <c r="C20" s="22" t="s">
        <v>120</v>
      </c>
      <c r="D20" s="23" t="s">
        <v>113</v>
      </c>
      <c r="E20" s="23" t="s">
        <v>161</v>
      </c>
      <c r="F20" s="24" t="n">
        <v>0</v>
      </c>
      <c r="G20" s="24" t="n">
        <v>25</v>
      </c>
      <c r="H20" s="24" t="n">
        <v>40</v>
      </c>
      <c r="I20" s="25" t="n">
        <f aca="false">F20*IF($D20="USD",Assumptions!$B$6,1)/IF($E20="year",12,1)</f>
        <v>0</v>
      </c>
      <c r="J20" s="25" t="n">
        <f aca="false">G20*IF($D20="USD",Assumptions!$B$6,1)/IF($E20="year",12,1)</f>
        <v>25</v>
      </c>
      <c r="K20" s="25" t="n">
        <f aca="false">H20*IF($D20="USD",Assumptions!$B$6,1)/IF($E20="year",12,1)</f>
        <v>40</v>
      </c>
      <c r="L20" s="13" t="s">
        <v>197</v>
      </c>
    </row>
    <row r="21" customFormat="false" ht="15" hidden="false" customHeight="false" outlineLevel="0" collapsed="false">
      <c r="A21" s="7" t="s">
        <v>198</v>
      </c>
      <c r="B21" s="7" t="s">
        <v>192</v>
      </c>
      <c r="C21" s="22" t="s">
        <v>112</v>
      </c>
      <c r="D21" s="23" t="s">
        <v>134</v>
      </c>
      <c r="E21" s="23" t="s">
        <v>161</v>
      </c>
      <c r="F21" s="27" t="n">
        <v>100</v>
      </c>
      <c r="G21" s="27" t="n">
        <v>100</v>
      </c>
      <c r="H21" s="27" t="n">
        <v>200</v>
      </c>
      <c r="I21" s="25" t="n">
        <f aca="false">F21*IF($D21="USD",Assumptions!$B$6,1)/IF($E21="year",12,1)</f>
        <v>86</v>
      </c>
      <c r="J21" s="25" t="n">
        <f aca="false">G21*IF($D21="USD",Assumptions!$B$6,1)/IF($E21="year",12,1)</f>
        <v>86</v>
      </c>
      <c r="K21" s="25" t="n">
        <f aca="false">H21*IF($D21="USD",Assumptions!$B$6,1)/IF($E21="year",12,1)</f>
        <v>172</v>
      </c>
      <c r="L21" s="13" t="s">
        <v>199</v>
      </c>
    </row>
    <row r="22" customFormat="false" ht="15" hidden="false" customHeight="false" outlineLevel="0" collapsed="false">
      <c r="A22" s="7" t="s">
        <v>200</v>
      </c>
      <c r="B22" s="7" t="s">
        <v>146</v>
      </c>
      <c r="C22" s="22" t="s">
        <v>120</v>
      </c>
      <c r="D22" s="23" t="s">
        <v>113</v>
      </c>
      <c r="E22" s="23" t="s">
        <v>161</v>
      </c>
      <c r="F22" s="24" t="n">
        <v>0</v>
      </c>
      <c r="G22" s="24" t="n">
        <v>200</v>
      </c>
      <c r="H22" s="24" t="n">
        <v>1000</v>
      </c>
      <c r="I22" s="25" t="n">
        <f aca="false">F22*IF($D22="USD",Assumptions!$B$6,1)/IF($E22="year",12,1)</f>
        <v>0</v>
      </c>
      <c r="J22" s="25" t="n">
        <f aca="false">G22*IF($D22="USD",Assumptions!$B$6,1)/IF($E22="year",12,1)</f>
        <v>200</v>
      </c>
      <c r="K22" s="25" t="n">
        <f aca="false">H22*IF($D22="USD",Assumptions!$B$6,1)/IF($E22="year",12,1)</f>
        <v>1000</v>
      </c>
      <c r="L22" s="13" t="s">
        <v>201</v>
      </c>
    </row>
    <row r="24" customFormat="false" ht="15" hidden="false" customHeight="false" outlineLevel="0" collapsed="false">
      <c r="A24" s="5" t="s">
        <v>202</v>
      </c>
      <c r="I24" s="26" t="n">
        <f aca="false">SUMIFS(I5:I22,$C$5:$C$22,"Y")</f>
        <v>231.845</v>
      </c>
      <c r="J24" s="26" t="n">
        <f aca="false">SUMIFS(J5:J22,$C$5:$C$22,"Y")</f>
        <v>332.745</v>
      </c>
      <c r="K24" s="26" t="n">
        <f aca="false">SUMIFS(K5:K22,$C$5:$C$22,"Y")</f>
        <v>647.27</v>
      </c>
    </row>
    <row r="25" customFormat="false" ht="15" hidden="false" customHeight="false" outlineLevel="0" collapsed="false">
      <c r="A25" s="5" t="s">
        <v>203</v>
      </c>
      <c r="I25" s="26" t="n">
        <f aca="false">I24*12</f>
        <v>2782.14</v>
      </c>
      <c r="J25" s="26" t="n">
        <f aca="false">J24*12</f>
        <v>3992.94</v>
      </c>
      <c r="K25" s="26" t="n">
        <f aca="false">K24*12</f>
        <v>7767.24</v>
      </c>
    </row>
    <row r="26" customFormat="false" ht="15" hidden="false" customHeight="false" outlineLevel="0" collapsed="false">
      <c r="A26" s="5" t="s">
        <v>204</v>
      </c>
      <c r="I26" s="26" t="n">
        <f aca="false">SUM(I5:I22)</f>
        <v>234.855</v>
      </c>
      <c r="J26" s="26" t="n">
        <f aca="false">SUM(J5:J22)</f>
        <v>563.765</v>
      </c>
      <c r="K26" s="26" t="n">
        <f aca="false">SUM(K5:K22)</f>
        <v>1699.31</v>
      </c>
    </row>
    <row r="28" customFormat="false" ht="15" hidden="false" customHeight="false" outlineLevel="0" collapsed="false">
      <c r="A28" s="21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35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57.75" hidden="false" customHeight="true" outlineLevel="0" collapsed="false">
      <c r="A4" s="11" t="s">
        <v>208</v>
      </c>
      <c r="B4" s="11" t="s">
        <v>209</v>
      </c>
      <c r="C4" s="11" t="s">
        <v>210</v>
      </c>
      <c r="D4" s="11" t="s">
        <v>211</v>
      </c>
      <c r="E4" s="11" t="s">
        <v>212</v>
      </c>
      <c r="F4" s="11" t="s">
        <v>213</v>
      </c>
      <c r="G4" s="11" t="s">
        <v>214</v>
      </c>
      <c r="H4" s="11" t="s">
        <v>215</v>
      </c>
      <c r="I4" s="11" t="s">
        <v>216</v>
      </c>
      <c r="J4" s="11" t="s">
        <v>217</v>
      </c>
      <c r="K4" s="11" t="s">
        <v>218</v>
      </c>
      <c r="L4" s="11" t="s">
        <v>219</v>
      </c>
      <c r="M4" s="11" t="s">
        <v>220</v>
      </c>
      <c r="N4" s="11" t="s">
        <v>221</v>
      </c>
      <c r="O4" s="11" t="s">
        <v>222</v>
      </c>
      <c r="P4" s="11" t="s">
        <v>223</v>
      </c>
      <c r="Q4" s="11" t="s">
        <v>224</v>
      </c>
      <c r="R4" s="11" t="s">
        <v>225</v>
      </c>
      <c r="S4" s="11" t="s">
        <v>226</v>
      </c>
    </row>
    <row r="5" customFormat="false" ht="15" hidden="false" customHeight="false" outlineLevel="0" collapsed="false">
      <c r="A5" s="7" t="s">
        <v>227</v>
      </c>
      <c r="B5" s="7" t="s">
        <v>228</v>
      </c>
      <c r="C5" s="8" t="n">
        <f aca="false">Assumptions!$B$9</f>
        <v>8</v>
      </c>
      <c r="D5" s="23" t="n">
        <v>1</v>
      </c>
      <c r="E5" s="28" t="n">
        <f aca="false">1/D5</f>
        <v>1</v>
      </c>
      <c r="F5" s="25" t="n">
        <f aca="false">C5/D5</f>
        <v>8</v>
      </c>
      <c r="G5" s="25" t="n">
        <f aca="false">F5-H5</f>
        <v>1.38842975206612</v>
      </c>
      <c r="H5" s="25" t="n">
        <f aca="false">F5/(1+Assumptions!$B$7)</f>
        <v>6.61157024793388</v>
      </c>
      <c r="I5" s="25" t="n">
        <f aca="false">H5*Assumptions!$B$19</f>
        <v>0.991735537190083</v>
      </c>
      <c r="J5" s="25" t="n">
        <f aca="false">F5*(Assumptions!$B$20+Assumptions!$B$22)+Assumptions!$B$21*E5</f>
        <v>0.426</v>
      </c>
      <c r="K5" s="25" t="n">
        <f aca="false">Assumptions!$B$17*I5+(1-Assumptions!$B$17)*J5</f>
        <v>0.76544132231405</v>
      </c>
      <c r="L5" s="25" t="n">
        <f aca="false">H5-K5</f>
        <v>5.84612892561984</v>
      </c>
      <c r="M5" s="25" t="n">
        <f aca="false">Assumptions!$B$24*Assumptions!$B$6</f>
        <v>0.2322</v>
      </c>
      <c r="N5" s="25" t="n">
        <f aca="false">Assumptions!$B$29</f>
        <v>0.02</v>
      </c>
      <c r="O5" s="25" t="n">
        <f aca="false">L5-M5-N5</f>
        <v>5.59392892561984</v>
      </c>
      <c r="P5" s="29" t="n">
        <f aca="false">IF(F5=0,0,O5/F5)</f>
        <v>0.69924111570248</v>
      </c>
      <c r="Q5" s="25" t="n">
        <f aca="false">Assumptions!$B$25*Assumptions!$B$6</f>
        <v>1.1438</v>
      </c>
      <c r="R5" s="25" t="n">
        <f aca="false">L5-Q5-N5</f>
        <v>4.68232892561984</v>
      </c>
    </row>
    <row r="6" customFormat="false" ht="15" hidden="false" customHeight="false" outlineLevel="0" collapsed="false">
      <c r="A6" s="7" t="s">
        <v>227</v>
      </c>
      <c r="B6" s="7" t="s">
        <v>229</v>
      </c>
      <c r="C6" s="8" t="n">
        <f aca="false">Assumptions!$B$10</f>
        <v>52</v>
      </c>
      <c r="D6" s="23" t="n">
        <v>12</v>
      </c>
      <c r="E6" s="28" t="n">
        <f aca="false">1/D6</f>
        <v>0.0833333333333333</v>
      </c>
      <c r="F6" s="25" t="n">
        <f aca="false">C6/D6</f>
        <v>4.33333333333333</v>
      </c>
      <c r="G6" s="25" t="n">
        <f aca="false">F6-H6</f>
        <v>0.752066115702479</v>
      </c>
      <c r="H6" s="25" t="n">
        <f aca="false">F6/(1+Assumptions!$B$7)</f>
        <v>3.58126721763085</v>
      </c>
      <c r="I6" s="25" t="n">
        <f aca="false">H6*Assumptions!$B$19</f>
        <v>0.537190082644628</v>
      </c>
      <c r="J6" s="25" t="n">
        <f aca="false">F6*(Assumptions!$B$20+Assumptions!$B$22)+Assumptions!$B$21*E6</f>
        <v>0.116166666666667</v>
      </c>
      <c r="K6" s="25" t="n">
        <f aca="false">Assumptions!$B$17*I6+(1-Assumptions!$B$17)*J6</f>
        <v>0.368780716253444</v>
      </c>
      <c r="L6" s="25" t="n">
        <f aca="false">H6-K6</f>
        <v>3.21248650137741</v>
      </c>
      <c r="M6" s="25" t="n">
        <f aca="false">Assumptions!$B$24*Assumptions!$B$6</f>
        <v>0.2322</v>
      </c>
      <c r="N6" s="25" t="n">
        <f aca="false">Assumptions!$B$29</f>
        <v>0.02</v>
      </c>
      <c r="O6" s="25" t="n">
        <f aca="false">L6-M6-N6</f>
        <v>2.96028650137741</v>
      </c>
      <c r="P6" s="29" t="n">
        <f aca="false">IF(F6=0,0,O6/F6)</f>
        <v>0.683143038779402</v>
      </c>
      <c r="Q6" s="25" t="n">
        <f aca="false">Assumptions!$B$25*Assumptions!$B$6</f>
        <v>1.1438</v>
      </c>
      <c r="R6" s="25" t="n">
        <f aca="false">L6-Q6-N6</f>
        <v>2.04868650137741</v>
      </c>
      <c r="S6" s="29" t="n">
        <f aca="false">1-C6/(12*C5)</f>
        <v>0.458333333333333</v>
      </c>
    </row>
    <row r="7" customFormat="false" ht="15" hidden="false" customHeight="false" outlineLevel="0" collapsed="false">
      <c r="A7" s="7" t="s">
        <v>230</v>
      </c>
      <c r="B7" s="7" t="s">
        <v>228</v>
      </c>
      <c r="C7" s="8" t="n">
        <f aca="false">Assumptions!$B$11</f>
        <v>12</v>
      </c>
      <c r="D7" s="23" t="n">
        <v>1</v>
      </c>
      <c r="E7" s="28" t="n">
        <f aca="false">1/D7</f>
        <v>1</v>
      </c>
      <c r="F7" s="25" t="n">
        <f aca="false">C7/D7</f>
        <v>12</v>
      </c>
      <c r="G7" s="25" t="n">
        <f aca="false">F7-H7</f>
        <v>2.08264462809917</v>
      </c>
      <c r="H7" s="25" t="n">
        <f aca="false">F7/(1+Assumptions!$B$7)</f>
        <v>9.91735537190083</v>
      </c>
      <c r="I7" s="25" t="n">
        <f aca="false">H7*Assumptions!$B$19</f>
        <v>1.48760330578512</v>
      </c>
      <c r="J7" s="25" t="n">
        <f aca="false">F7*(Assumptions!$B$20+Assumptions!$B$22)+Assumptions!$B$21*E7</f>
        <v>0.514</v>
      </c>
      <c r="K7" s="25" t="n">
        <f aca="false">Assumptions!$B$17*I7+(1-Assumptions!$B$17)*J7</f>
        <v>1.09816198347107</v>
      </c>
      <c r="L7" s="25" t="n">
        <f aca="false">H7-K7</f>
        <v>8.81919338842975</v>
      </c>
      <c r="M7" s="25" t="n">
        <f aca="false">Assumptions!$B$26*Assumptions!$B$6</f>
        <v>0.3784</v>
      </c>
      <c r="N7" s="25" t="n">
        <f aca="false">Assumptions!$B$29</f>
        <v>0.02</v>
      </c>
      <c r="O7" s="25" t="n">
        <f aca="false">L7-M7-N7</f>
        <v>8.42079338842975</v>
      </c>
      <c r="P7" s="29" t="n">
        <f aca="false">IF(F7=0,0,O7/F7)</f>
        <v>0.701732782369146</v>
      </c>
      <c r="Q7" s="25" t="n">
        <f aca="false">Assumptions!$B$27*Assumptions!$B$6</f>
        <v>2.752</v>
      </c>
      <c r="R7" s="25" t="n">
        <f aca="false">L7-Q7-N7</f>
        <v>6.04719338842975</v>
      </c>
    </row>
    <row r="8" customFormat="false" ht="15" hidden="false" customHeight="false" outlineLevel="0" collapsed="false">
      <c r="A8" s="7" t="s">
        <v>230</v>
      </c>
      <c r="B8" s="7" t="s">
        <v>229</v>
      </c>
      <c r="C8" s="8" t="n">
        <f aca="false">Assumptions!$B$12</f>
        <v>65</v>
      </c>
      <c r="D8" s="23" t="n">
        <v>12</v>
      </c>
      <c r="E8" s="28" t="n">
        <f aca="false">1/D8</f>
        <v>0.0833333333333333</v>
      </c>
      <c r="F8" s="25" t="n">
        <f aca="false">C8/D8</f>
        <v>5.41666666666667</v>
      </c>
      <c r="G8" s="25" t="n">
        <f aca="false">F8-H8</f>
        <v>0.940082644628099</v>
      </c>
      <c r="H8" s="25" t="n">
        <f aca="false">F8/(1+Assumptions!$B$7)</f>
        <v>4.47658402203857</v>
      </c>
      <c r="I8" s="25" t="n">
        <f aca="false">H8*Assumptions!$B$19</f>
        <v>0.671487603305785</v>
      </c>
      <c r="J8" s="25" t="n">
        <f aca="false">F8*(Assumptions!$B$20+Assumptions!$B$22)+Assumptions!$B$21*E8</f>
        <v>0.14</v>
      </c>
      <c r="K8" s="25" t="n">
        <f aca="false">Assumptions!$B$17*I8+(1-Assumptions!$B$17)*J8</f>
        <v>0.458892561983471</v>
      </c>
      <c r="L8" s="25" t="n">
        <f aca="false">H8-K8</f>
        <v>4.0176914600551</v>
      </c>
      <c r="M8" s="25" t="n">
        <f aca="false">Assumptions!$B$26*Assumptions!$B$6</f>
        <v>0.3784</v>
      </c>
      <c r="N8" s="25" t="n">
        <f aca="false">Assumptions!$B$29</f>
        <v>0.02</v>
      </c>
      <c r="O8" s="25" t="n">
        <f aca="false">L8-M8-N8</f>
        <v>3.6192914600551</v>
      </c>
      <c r="P8" s="29" t="n">
        <f aca="false">IF(F8=0,0,O8/F8)</f>
        <v>0.668176884933249</v>
      </c>
      <c r="Q8" s="25" t="n">
        <f aca="false">Assumptions!$B$27*Assumptions!$B$6</f>
        <v>2.752</v>
      </c>
      <c r="R8" s="25" t="n">
        <f aca="false">L8-Q8-N8</f>
        <v>1.2456914600551</v>
      </c>
      <c r="S8" s="29" t="n">
        <f aca="false">1-C8/(12*C7)</f>
        <v>0.548611111111111</v>
      </c>
    </row>
    <row r="10" customFormat="false" ht="15" hidden="false" customHeight="false" outlineLevel="0" collapsed="false">
      <c r="A10" s="5" t="s">
        <v>231</v>
      </c>
    </row>
    <row r="11" customFormat="false" ht="15" hidden="false" customHeight="false" outlineLevel="0" collapsed="false">
      <c r="A11" s="5" t="s">
        <v>227</v>
      </c>
      <c r="B11" s="5" t="s">
        <v>232</v>
      </c>
      <c r="F11" s="30" t="n">
        <f aca="false">(1-Assumptions!$B$16)*F5+Assumptions!$B$16*F6</f>
        <v>6.16666666666667</v>
      </c>
      <c r="G11" s="30" t="n">
        <f aca="false">(1-Assumptions!$B$16)*G5+Assumptions!$B$16*G6</f>
        <v>1.0702479338843</v>
      </c>
      <c r="H11" s="30" t="n">
        <f aca="false">(1-Assumptions!$B$16)*H5+Assumptions!$B$16*H6</f>
        <v>5.09641873278237</v>
      </c>
      <c r="K11" s="30" t="n">
        <f aca="false">(1-Assumptions!$B$16)*K5+Assumptions!$B$16*K6</f>
        <v>0.567111019283747</v>
      </c>
      <c r="L11" s="30" t="n">
        <f aca="false">(1-Assumptions!$B$16)*L5+Assumptions!$B$16*L6</f>
        <v>4.52930771349862</v>
      </c>
      <c r="M11" s="30" t="n">
        <f aca="false">(1-Assumptions!$B$16)*M5+Assumptions!$B$16*M6</f>
        <v>0.2322</v>
      </c>
      <c r="N11" s="30" t="n">
        <f aca="false">(1-Assumptions!$B$16)*N5+Assumptions!$B$16*N6</f>
        <v>0.02</v>
      </c>
      <c r="O11" s="30" t="n">
        <f aca="false">(1-Assumptions!$B$16)*O5+Assumptions!$B$16*O6</f>
        <v>4.27710771349862</v>
      </c>
      <c r="P11" s="31" t="n">
        <f aca="false">IF(F11=0,0,O11/F11)</f>
        <v>0.693585034621398</v>
      </c>
      <c r="Q11" s="30" t="n">
        <f aca="false">(1-Assumptions!$B$16)*Q5+Assumptions!$B$16*Q6</f>
        <v>1.1438</v>
      </c>
      <c r="R11" s="30" t="n">
        <f aca="false">(1-Assumptions!$B$16)*R5+Assumptions!$B$16*R6</f>
        <v>3.36550771349862</v>
      </c>
    </row>
    <row r="12" customFormat="false" ht="15" hidden="false" customHeight="false" outlineLevel="0" collapsed="false">
      <c r="A12" s="5" t="s">
        <v>230</v>
      </c>
      <c r="B12" s="5" t="s">
        <v>232</v>
      </c>
      <c r="F12" s="30" t="n">
        <f aca="false">(1-Assumptions!$B$16)*F7+Assumptions!$B$16*F8</f>
        <v>8.70833333333333</v>
      </c>
      <c r="G12" s="30" t="n">
        <f aca="false">(1-Assumptions!$B$16)*G7+Assumptions!$B$16*G8</f>
        <v>1.51136363636364</v>
      </c>
      <c r="H12" s="30" t="n">
        <f aca="false">(1-Assumptions!$B$16)*H7+Assumptions!$B$16*H8</f>
        <v>7.1969696969697</v>
      </c>
      <c r="K12" s="30" t="n">
        <f aca="false">(1-Assumptions!$B$16)*K7+Assumptions!$B$16*K8</f>
        <v>0.778527272727273</v>
      </c>
      <c r="L12" s="30" t="n">
        <f aca="false">(1-Assumptions!$B$16)*L7+Assumptions!$B$16*L8</f>
        <v>6.41844242424243</v>
      </c>
      <c r="M12" s="30" t="n">
        <f aca="false">(1-Assumptions!$B$16)*M7+Assumptions!$B$16*M8</f>
        <v>0.3784</v>
      </c>
      <c r="N12" s="30" t="n">
        <f aca="false">(1-Assumptions!$B$16)*N7+Assumptions!$B$16*N8</f>
        <v>0.02</v>
      </c>
      <c r="O12" s="30" t="n">
        <f aca="false">(1-Assumptions!$B$16)*O7+Assumptions!$B$16*O8</f>
        <v>6.02004242424243</v>
      </c>
      <c r="P12" s="31" t="n">
        <f aca="false">IF(F12=0,0,O12/F12)</f>
        <v>0.691296737712049</v>
      </c>
      <c r="Q12" s="30" t="n">
        <f aca="false">(1-Assumptions!$B$16)*Q7+Assumptions!$B$16*Q8</f>
        <v>2.752</v>
      </c>
      <c r="R12" s="30" t="n">
        <f aca="false">(1-Assumptions!$B$16)*R7+Assumptions!$B$16*R8</f>
        <v>3.64644242424242</v>
      </c>
    </row>
    <row r="13" customFormat="false" ht="15" hidden="false" customHeight="false" outlineLevel="0" collapsed="false">
      <c r="A13" s="5" t="s">
        <v>233</v>
      </c>
      <c r="B13" s="5" t="s">
        <v>232</v>
      </c>
      <c r="F13" s="30" t="n">
        <f aca="false">IF(Assumptions!$B$14+Assumptions!$B$15=0,0,Assumptions!$B$14/(Assumptions!$B$14+Assumptions!$B$15)*F11+(1-Assumptions!$B$14/(Assumptions!$B$14+Assumptions!$B$15))*F12)</f>
        <v>6.85984848484848</v>
      </c>
      <c r="G13" s="30" t="n">
        <f aca="false">IF(Assumptions!$B$14+Assumptions!$B$15=0,0,Assumptions!$B$14/(Assumptions!$B$14+Assumptions!$B$15)*G11+(1-Assumptions!$B$14/(Assumptions!$B$14+Assumptions!$B$15))*G12)</f>
        <v>1.19055221637866</v>
      </c>
      <c r="H13" s="30" t="n">
        <f aca="false">IF(Assumptions!$B$14+Assumptions!$B$15=0,0,Assumptions!$B$14/(Assumptions!$B$14+Assumptions!$B$15)*H11+(1-Assumptions!$B$14/(Assumptions!$B$14+Assumptions!$B$15))*H12)</f>
        <v>5.66929626846982</v>
      </c>
      <c r="K13" s="30" t="n">
        <f aca="false">IF(Assumptions!$B$14+Assumptions!$B$15=0,0,Assumptions!$B$14/(Assumptions!$B$14+Assumptions!$B$15)*K11+(1-Assumptions!$B$14/(Assumptions!$B$14+Assumptions!$B$15))*K12)</f>
        <v>0.624769997495617</v>
      </c>
      <c r="L13" s="30" t="n">
        <f aca="false">IF(Assumptions!$B$14+Assumptions!$B$15=0,0,Assumptions!$B$14/(Assumptions!$B$14+Assumptions!$B$15)*L11+(1-Assumptions!$B$14/(Assumptions!$B$14+Assumptions!$B$15))*L12)</f>
        <v>5.04452627097421</v>
      </c>
      <c r="M13" s="30" t="n">
        <f aca="false">IF(Assumptions!$B$14+Assumptions!$B$15=0,0,Assumptions!$B$14/(Assumptions!$B$14+Assumptions!$B$15)*M11+(1-Assumptions!$B$14/(Assumptions!$B$14+Assumptions!$B$15))*M12)</f>
        <v>0.272072727272727</v>
      </c>
      <c r="N13" s="30" t="n">
        <f aca="false">IF(Assumptions!$B$14+Assumptions!$B$15=0,0,Assumptions!$B$14/(Assumptions!$B$14+Assumptions!$B$15)*N11+(1-Assumptions!$B$14/(Assumptions!$B$14+Assumptions!$B$15))*N12)</f>
        <v>0.02</v>
      </c>
      <c r="O13" s="30" t="n">
        <f aca="false">IF(Assumptions!$B$14+Assumptions!$B$15=0,0,Assumptions!$B$14/(Assumptions!$B$14+Assumptions!$B$15)*O11+(1-Assumptions!$B$14/(Assumptions!$B$14+Assumptions!$B$15))*O12)</f>
        <v>4.75245354370148</v>
      </c>
      <c r="P13" s="31" t="n">
        <f aca="false">IF(F13=0,0,O13/F13)</f>
        <v>0.692792786050354</v>
      </c>
      <c r="Q13" s="30" t="n">
        <f aca="false">IF(Assumptions!$B$14+Assumptions!$B$15=0,0,Assumptions!$B$14/(Assumptions!$B$14+Assumptions!$B$15)*Q11+(1-Assumptions!$B$14/(Assumptions!$B$14+Assumptions!$B$15))*Q12)</f>
        <v>1.5824</v>
      </c>
      <c r="R13" s="30" t="n">
        <f aca="false">IF(Assumptions!$B$14+Assumptions!$B$15=0,0,Assumptions!$B$14/(Assumptions!$B$14+Assumptions!$B$15)*R11+(1-Assumptions!$B$14/(Assumptions!$B$14+Assumptions!$B$15))*R12)</f>
        <v>3.44212627097421</v>
      </c>
    </row>
    <row r="16" customFormat="false" ht="15" hidden="false" customHeight="false" outlineLevel="0" collapsed="false">
      <c r="A16" s="3" t="s">
        <v>234</v>
      </c>
      <c r="B16" s="4"/>
      <c r="C16" s="4"/>
      <c r="D16" s="4"/>
      <c r="E16" s="4"/>
      <c r="F16" s="4"/>
      <c r="G16" s="4"/>
    </row>
    <row r="17" customFormat="false" ht="26.85" hidden="false" customHeight="false" outlineLevel="0" collapsed="false">
      <c r="A17" s="11" t="s">
        <v>235</v>
      </c>
      <c r="B17" s="11" t="s">
        <v>236</v>
      </c>
      <c r="C17" s="11" t="s">
        <v>17</v>
      </c>
      <c r="D17" s="11" t="s">
        <v>237</v>
      </c>
      <c r="E17" s="11"/>
      <c r="F17" s="11"/>
      <c r="G17" s="11"/>
    </row>
    <row r="18" customFormat="false" ht="15" hidden="false" customHeight="false" outlineLevel="0" collapsed="false">
      <c r="A18" s="7" t="s">
        <v>153</v>
      </c>
      <c r="B18" s="8" t="n">
        <f aca="false">'Fixed costs'!$I$24</f>
        <v>231.845</v>
      </c>
      <c r="C18" s="32" t="n">
        <f aca="false">IF(O13&lt;=0,"never",ROUNDUP(B18/O13,0))</f>
        <v>49</v>
      </c>
      <c r="D18" s="32" t="n">
        <f aca="false">IF(ISNUMBER(C18),ROUNDUP(C18/(Assumptions!$B$14+Assumptions!$B$15),0),"never")</f>
        <v>891</v>
      </c>
    </row>
    <row r="19" customFormat="false" ht="15" hidden="false" customHeight="false" outlineLevel="0" collapsed="false">
      <c r="A19" s="7" t="s">
        <v>154</v>
      </c>
      <c r="B19" s="8" t="n">
        <f aca="false">'Fixed costs'!$J$24</f>
        <v>332.745</v>
      </c>
      <c r="C19" s="32" t="n">
        <f aca="false">IF(O13&lt;=0,"never",ROUNDUP(B19/O13,0))</f>
        <v>71</v>
      </c>
      <c r="D19" s="32" t="n">
        <f aca="false">IF(ISNUMBER(C19),ROUNDUP(C19/(Assumptions!$B$14+Assumptions!$B$15),0),"never")</f>
        <v>1291</v>
      </c>
    </row>
    <row r="20" customFormat="false" ht="15" hidden="false" customHeight="false" outlineLevel="0" collapsed="false">
      <c r="A20" s="7" t="s">
        <v>155</v>
      </c>
      <c r="B20" s="8" t="n">
        <f aca="false">'Fixed costs'!$K$24</f>
        <v>647.27</v>
      </c>
      <c r="C20" s="32" t="n">
        <f aca="false">IF(O13&lt;=0,"never",ROUNDUP(B20/O13,0))</f>
        <v>137</v>
      </c>
      <c r="D20" s="32" t="n">
        <f aca="false">IF(ISNUMBER(C20),ROUNDUP(C20/(Assumptions!$B$14+Assumptions!$B$15),0),"never")</f>
        <v>2491</v>
      </c>
    </row>
    <row r="22" customFormat="false" ht="15" hidden="false" customHeight="false" outlineLevel="0" collapsed="false">
      <c r="A22" s="21" t="s">
        <v>238</v>
      </c>
    </row>
    <row r="24" customFormat="false" ht="15" hidden="false" customHeight="false" outlineLevel="0" collapsed="false">
      <c r="A24" s="5" t="s">
        <v>239</v>
      </c>
      <c r="C24" s="8" t="n">
        <f aca="false">Assumptions!$B$28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4" customFormat="false" ht="15" hidden="false" customHeight="false" outlineLevel="0" collapsed="false">
      <c r="A4" s="11" t="s">
        <v>242</v>
      </c>
      <c r="B4" s="11" t="s">
        <v>243</v>
      </c>
      <c r="C4" s="11" t="s">
        <v>244</v>
      </c>
      <c r="D4" s="11" t="s">
        <v>245</v>
      </c>
      <c r="E4" s="11" t="s">
        <v>246</v>
      </c>
      <c r="F4" s="11" t="s">
        <v>247</v>
      </c>
      <c r="G4" s="11" t="s">
        <v>248</v>
      </c>
      <c r="H4" s="11" t="s">
        <v>249</v>
      </c>
      <c r="I4" s="11" t="s">
        <v>250</v>
      </c>
    </row>
    <row r="5" customFormat="false" ht="15" hidden="false" customHeight="false" outlineLevel="0" collapsed="false">
      <c r="A5" s="7" t="s">
        <v>251</v>
      </c>
      <c r="B5" s="19" t="n">
        <v>100</v>
      </c>
      <c r="C5" s="19" t="n">
        <v>500</v>
      </c>
      <c r="D5" s="19" t="n">
        <v>1000</v>
      </c>
      <c r="E5" s="19" t="n">
        <v>2500</v>
      </c>
      <c r="F5" s="19" t="n">
        <v>5000</v>
      </c>
      <c r="G5" s="19" t="n">
        <v>10000</v>
      </c>
      <c r="H5" s="19" t="n">
        <v>25000</v>
      </c>
      <c r="I5" s="19" t="n">
        <v>50000</v>
      </c>
    </row>
    <row r="6" customFormat="false" ht="15" hidden="false" customHeight="false" outlineLevel="0" collapsed="false">
      <c r="A6" s="7" t="s">
        <v>252</v>
      </c>
      <c r="B6" s="33" t="n">
        <f aca="false">IF(B5&gt;=Assumptions!$B$32,3,IF(B5&gt;=Assumptions!$B$31,2,1))</f>
        <v>1</v>
      </c>
      <c r="C6" s="33" t="n">
        <f aca="false">IF(C5&gt;=Assumptions!$B$32,3,IF(C5&gt;=Assumptions!$B$31,2,1))</f>
        <v>1</v>
      </c>
      <c r="D6" s="33" t="n">
        <f aca="false">IF(D5&gt;=Assumptions!$B$32,3,IF(D5&gt;=Assumptions!$B$31,2,1))</f>
        <v>1</v>
      </c>
      <c r="E6" s="33" t="n">
        <f aca="false">IF(E5&gt;=Assumptions!$B$32,3,IF(E5&gt;=Assumptions!$B$31,2,1))</f>
        <v>2</v>
      </c>
      <c r="F6" s="33" t="n">
        <f aca="false">IF(F5&gt;=Assumptions!$B$32,3,IF(F5&gt;=Assumptions!$B$31,2,1))</f>
        <v>2</v>
      </c>
      <c r="G6" s="33" t="n">
        <f aca="false">IF(G5&gt;=Assumptions!$B$32,3,IF(G5&gt;=Assumptions!$B$31,2,1))</f>
        <v>2</v>
      </c>
      <c r="H6" s="33" t="n">
        <f aca="false">IF(H5&gt;=Assumptions!$B$32,3,IF(H5&gt;=Assumptions!$B$31,2,1))</f>
        <v>3</v>
      </c>
      <c r="I6" s="33" t="n">
        <f aca="false">IF(I5&gt;=Assumptions!$B$32,3,IF(I5&gt;=Assumptions!$B$31,2,1))</f>
        <v>3</v>
      </c>
    </row>
    <row r="7" customFormat="false" ht="15" hidden="false" customHeight="false" outlineLevel="0" collapsed="false">
      <c r="A7" s="7" t="s">
        <v>253</v>
      </c>
      <c r="B7" s="32" t="n">
        <f aca="false">B5-B8-B9</f>
        <v>94</v>
      </c>
      <c r="C7" s="32" t="n">
        <f aca="false">C5-C8-C9</f>
        <v>472</v>
      </c>
      <c r="D7" s="32" t="n">
        <f aca="false">D5-D8-D9</f>
        <v>945</v>
      </c>
      <c r="E7" s="32" t="n">
        <f aca="false">E5-E8-E9</f>
        <v>2362</v>
      </c>
      <c r="F7" s="32" t="n">
        <f aca="false">F5-F8-F9</f>
        <v>4725</v>
      </c>
      <c r="G7" s="32" t="n">
        <f aca="false">G5-G8-G9</f>
        <v>9450</v>
      </c>
      <c r="H7" s="32" t="n">
        <f aca="false">H5-H8-H9</f>
        <v>23625</v>
      </c>
      <c r="I7" s="32" t="n">
        <f aca="false">I5-I8-I9</f>
        <v>47250</v>
      </c>
    </row>
    <row r="8" customFormat="false" ht="15" hidden="false" customHeight="false" outlineLevel="0" collapsed="false">
      <c r="A8" s="7" t="s">
        <v>254</v>
      </c>
      <c r="B8" s="32" t="n">
        <f aca="false">ROUND(B5*Assumptions!$B$14,0)</f>
        <v>4</v>
      </c>
      <c r="C8" s="32" t="n">
        <f aca="false">ROUND(C5*Assumptions!$B$14,0)</f>
        <v>20</v>
      </c>
      <c r="D8" s="32" t="n">
        <f aca="false">ROUND(D5*Assumptions!$B$14,0)</f>
        <v>40</v>
      </c>
      <c r="E8" s="32" t="n">
        <f aca="false">ROUND(E5*Assumptions!$B$14,0)</f>
        <v>100</v>
      </c>
      <c r="F8" s="32" t="n">
        <f aca="false">ROUND(F5*Assumptions!$B$14,0)</f>
        <v>200</v>
      </c>
      <c r="G8" s="32" t="n">
        <f aca="false">ROUND(G5*Assumptions!$B$14,0)</f>
        <v>400</v>
      </c>
      <c r="H8" s="32" t="n">
        <f aca="false">ROUND(H5*Assumptions!$B$14,0)</f>
        <v>1000</v>
      </c>
      <c r="I8" s="32" t="n">
        <f aca="false">ROUND(I5*Assumptions!$B$14,0)</f>
        <v>2000</v>
      </c>
    </row>
    <row r="9" customFormat="false" ht="15" hidden="false" customHeight="false" outlineLevel="0" collapsed="false">
      <c r="A9" s="7" t="s">
        <v>255</v>
      </c>
      <c r="B9" s="32" t="n">
        <f aca="false">ROUND(B5*Assumptions!$B$15,0)</f>
        <v>2</v>
      </c>
      <c r="C9" s="32" t="n">
        <f aca="false">ROUND(C5*Assumptions!$B$15,0)</f>
        <v>8</v>
      </c>
      <c r="D9" s="32" t="n">
        <f aca="false">ROUND(D5*Assumptions!$B$15,0)</f>
        <v>15</v>
      </c>
      <c r="E9" s="32" t="n">
        <f aca="false">ROUND(E5*Assumptions!$B$15,0)</f>
        <v>38</v>
      </c>
      <c r="F9" s="32" t="n">
        <f aca="false">ROUND(F5*Assumptions!$B$15,0)</f>
        <v>75</v>
      </c>
      <c r="G9" s="32" t="n">
        <f aca="false">ROUND(G5*Assumptions!$B$15,0)</f>
        <v>150</v>
      </c>
      <c r="H9" s="32" t="n">
        <f aca="false">ROUND(H5*Assumptions!$B$15,0)</f>
        <v>375</v>
      </c>
      <c r="I9" s="32" t="n">
        <f aca="false">ROUND(I5*Assumptions!$B$15,0)</f>
        <v>750</v>
      </c>
    </row>
    <row r="10" customFormat="false" ht="15" hidden="false" customHeight="false" outlineLevel="0" collapsed="false">
      <c r="A10" s="5" t="s">
        <v>256</v>
      </c>
      <c r="B10" s="34" t="n">
        <f aca="false">B8+B9</f>
        <v>6</v>
      </c>
      <c r="C10" s="34" t="n">
        <f aca="false">C8+C9</f>
        <v>28</v>
      </c>
      <c r="D10" s="34" t="n">
        <f aca="false">D8+D9</f>
        <v>55</v>
      </c>
      <c r="E10" s="34" t="n">
        <f aca="false">E8+E9</f>
        <v>138</v>
      </c>
      <c r="F10" s="34" t="n">
        <f aca="false">F8+F9</f>
        <v>275</v>
      </c>
      <c r="G10" s="34" t="n">
        <f aca="false">G8+G9</f>
        <v>550</v>
      </c>
      <c r="H10" s="34" t="n">
        <f aca="false">H8+H9</f>
        <v>1375</v>
      </c>
      <c r="I10" s="34" t="n">
        <f aca="false">I8+I9</f>
        <v>2750</v>
      </c>
    </row>
    <row r="12" customFormat="false" ht="15" hidden="false" customHeight="false" outlineLevel="0" collapsed="false">
      <c r="A12" s="3" t="s">
        <v>257</v>
      </c>
      <c r="B12" s="4"/>
      <c r="C12" s="4"/>
      <c r="D12" s="4"/>
      <c r="E12" s="4"/>
      <c r="F12" s="4"/>
      <c r="G12" s="4"/>
      <c r="H12" s="4"/>
      <c r="I12" s="4"/>
    </row>
    <row r="13" customFormat="false" ht="15" hidden="false" customHeight="false" outlineLevel="0" collapsed="false">
      <c r="A13" s="7" t="s">
        <v>258</v>
      </c>
      <c r="B13" s="25" t="n">
        <f aca="false">B8*'Unit economics'!$F$11+B9*'Unit economics'!$F$12</f>
        <v>42.0833333333333</v>
      </c>
      <c r="C13" s="25" t="n">
        <f aca="false">C8*'Unit economics'!$F$11+C9*'Unit economics'!$F$12</f>
        <v>193</v>
      </c>
      <c r="D13" s="25" t="n">
        <f aca="false">D8*'Unit economics'!$F$11+D9*'Unit economics'!$F$12</f>
        <v>377.291666666667</v>
      </c>
      <c r="E13" s="25" t="n">
        <f aca="false">E8*'Unit economics'!$F$11+E9*'Unit economics'!$F$12</f>
        <v>947.583333333333</v>
      </c>
      <c r="F13" s="25" t="n">
        <f aca="false">F8*'Unit economics'!$F$11+F9*'Unit economics'!$F$12</f>
        <v>1886.45833333333</v>
      </c>
      <c r="G13" s="25" t="n">
        <f aca="false">G8*'Unit economics'!$F$11+G9*'Unit economics'!$F$12</f>
        <v>3772.91666666667</v>
      </c>
      <c r="H13" s="25" t="n">
        <f aca="false">H8*'Unit economics'!$F$11+H9*'Unit economics'!$F$12</f>
        <v>9432.29166666667</v>
      </c>
      <c r="I13" s="25" t="n">
        <f aca="false">I8*'Unit economics'!$F$11+I9*'Unit economics'!$F$12</f>
        <v>18864.5833333333</v>
      </c>
    </row>
    <row r="14" customFormat="false" ht="15" hidden="false" customHeight="false" outlineLevel="0" collapsed="false">
      <c r="A14" s="7" t="s">
        <v>259</v>
      </c>
      <c r="B14" s="25" t="n">
        <f aca="false">-(B8*'Unit economics'!$G$11+B9*'Unit economics'!$G$12)</f>
        <v>-7.30371900826446</v>
      </c>
      <c r="C14" s="25" t="n">
        <f aca="false">-(C8*'Unit economics'!$G$11+C9*'Unit economics'!$G$12)</f>
        <v>-33.495867768595</v>
      </c>
      <c r="D14" s="25" t="n">
        <f aca="false">-(D8*'Unit economics'!$G$11+D9*'Unit economics'!$G$12)</f>
        <v>-65.4803719008264</v>
      </c>
      <c r="E14" s="25" t="n">
        <f aca="false">-(E8*'Unit economics'!$G$11+E9*'Unit economics'!$G$12)</f>
        <v>-164.456611570248</v>
      </c>
      <c r="F14" s="25" t="n">
        <f aca="false">-(F8*'Unit economics'!$G$11+F9*'Unit economics'!$G$12)</f>
        <v>-327.401859504132</v>
      </c>
      <c r="G14" s="25" t="n">
        <f aca="false">-(G8*'Unit economics'!$G$11+G9*'Unit economics'!$G$12)</f>
        <v>-654.803719008264</v>
      </c>
      <c r="H14" s="25" t="n">
        <f aca="false">-(H8*'Unit economics'!$G$11+H9*'Unit economics'!$G$12)</f>
        <v>-1637.00929752066</v>
      </c>
      <c r="I14" s="25" t="n">
        <f aca="false">-(I8*'Unit economics'!$G$11+I9*'Unit economics'!$G$12)</f>
        <v>-3274.01859504132</v>
      </c>
    </row>
    <row r="15" customFormat="false" ht="15" hidden="false" customHeight="false" outlineLevel="0" collapsed="false">
      <c r="A15" s="7" t="s">
        <v>260</v>
      </c>
      <c r="B15" s="25" t="n">
        <f aca="false">-(B8*'Unit economics'!$K$11+B9*'Unit economics'!$K$12)</f>
        <v>-3.82549862258953</v>
      </c>
      <c r="C15" s="25" t="n">
        <f aca="false">-(C8*'Unit economics'!$K$11+C9*'Unit economics'!$K$12)</f>
        <v>-17.5704385674931</v>
      </c>
      <c r="D15" s="25" t="n">
        <f aca="false">-(D8*'Unit economics'!$K$11+D9*'Unit economics'!$K$12)</f>
        <v>-34.362349862259</v>
      </c>
      <c r="E15" s="25" t="n">
        <f aca="false">-(E8*'Unit economics'!$K$11+E9*'Unit economics'!$K$12)</f>
        <v>-86.295138292011</v>
      </c>
      <c r="F15" s="25" t="n">
        <f aca="false">-(F8*'Unit economics'!$K$11+F9*'Unit economics'!$K$12)</f>
        <v>-171.811749311295</v>
      </c>
      <c r="G15" s="25" t="n">
        <f aca="false">-(G8*'Unit economics'!$K$11+G9*'Unit economics'!$K$12)</f>
        <v>-343.62349862259</v>
      </c>
      <c r="H15" s="25" t="n">
        <f aca="false">-(H8*'Unit economics'!$K$11+H9*'Unit economics'!$K$12)</f>
        <v>-859.058746556474</v>
      </c>
      <c r="I15" s="25" t="n">
        <f aca="false">-(I8*'Unit economics'!$K$11+I9*'Unit economics'!$K$12)</f>
        <v>-1718.11749311295</v>
      </c>
    </row>
    <row r="16" customFormat="false" ht="15" hidden="false" customHeight="false" outlineLevel="0" collapsed="false">
      <c r="A16" s="5" t="s">
        <v>261</v>
      </c>
      <c r="B16" s="35" t="n">
        <f aca="false">B13+B14+B15</f>
        <v>30.9541157024793</v>
      </c>
      <c r="C16" s="35" t="n">
        <f aca="false">C13+C14+C15</f>
        <v>141.933693663912</v>
      </c>
      <c r="D16" s="35" t="n">
        <f aca="false">D13+D14+D15</f>
        <v>277.448944903581</v>
      </c>
      <c r="E16" s="35" t="n">
        <f aca="false">E13+E14+E15</f>
        <v>696.831583471074</v>
      </c>
      <c r="F16" s="35" t="n">
        <f aca="false">F13+F14+F15</f>
        <v>1387.24472451791</v>
      </c>
      <c r="G16" s="35" t="n">
        <f aca="false">G13+G14+G15</f>
        <v>2774.48944903581</v>
      </c>
      <c r="H16" s="35" t="n">
        <f aca="false">H13+H14+H15</f>
        <v>6936.22362258953</v>
      </c>
      <c r="I16" s="35" t="n">
        <f aca="false">I13+I14+I15</f>
        <v>13872.4472451791</v>
      </c>
    </row>
    <row r="18" customFormat="false" ht="15" hidden="false" customHeight="false" outlineLevel="0" collapsed="false">
      <c r="A18" s="3" t="s">
        <v>262</v>
      </c>
      <c r="B18" s="4"/>
      <c r="C18" s="4"/>
      <c r="D18" s="4"/>
      <c r="E18" s="4"/>
      <c r="F18" s="4"/>
      <c r="G18" s="4"/>
      <c r="H18" s="4"/>
      <c r="I18" s="4"/>
    </row>
    <row r="19" customFormat="false" ht="15" hidden="false" customHeight="false" outlineLevel="0" collapsed="false">
      <c r="A19" s="7" t="s">
        <v>263</v>
      </c>
      <c r="B19" s="25" t="n">
        <f aca="false">B8*'Unit economics'!$M$11+B9*'Unit economics'!$M$12</f>
        <v>1.6856</v>
      </c>
      <c r="C19" s="25" t="n">
        <f aca="false">C8*'Unit economics'!$M$11+C9*'Unit economics'!$M$12</f>
        <v>7.6712</v>
      </c>
      <c r="D19" s="25" t="n">
        <f aca="false">D8*'Unit economics'!$M$11+D9*'Unit economics'!$M$12</f>
        <v>14.964</v>
      </c>
      <c r="E19" s="25" t="n">
        <f aca="false">E8*'Unit economics'!$M$11+E9*'Unit economics'!$M$12</f>
        <v>37.5992</v>
      </c>
      <c r="F19" s="25" t="n">
        <f aca="false">F8*'Unit economics'!$M$11+F9*'Unit economics'!$M$12</f>
        <v>74.82</v>
      </c>
      <c r="G19" s="25" t="n">
        <f aca="false">G8*'Unit economics'!$M$11+G9*'Unit economics'!$M$12</f>
        <v>149.64</v>
      </c>
      <c r="H19" s="25" t="n">
        <f aca="false">H8*'Unit economics'!$M$11+H9*'Unit economics'!$M$12</f>
        <v>374.1</v>
      </c>
      <c r="I19" s="25" t="n">
        <f aca="false">I8*'Unit economics'!$M$11+I9*'Unit economics'!$M$12</f>
        <v>748.2</v>
      </c>
    </row>
    <row r="20" customFormat="false" ht="15" hidden="false" customHeight="false" outlineLevel="0" collapsed="false">
      <c r="A20" s="7" t="s">
        <v>264</v>
      </c>
      <c r="B20" s="25" t="n">
        <f aca="false">B7*Assumptions!$B$28+B10*Assumptions!$B$29</f>
        <v>1.06</v>
      </c>
      <c r="C20" s="25" t="n">
        <f aca="false">C7*Assumptions!$B$28+C10*Assumptions!$B$29</f>
        <v>5.28</v>
      </c>
      <c r="D20" s="25" t="n">
        <f aca="false">D7*Assumptions!$B$28+D10*Assumptions!$B$29</f>
        <v>10.55</v>
      </c>
      <c r="E20" s="25" t="n">
        <f aca="false">E7*Assumptions!$B$28+E10*Assumptions!$B$29</f>
        <v>26.38</v>
      </c>
      <c r="F20" s="25" t="n">
        <f aca="false">F7*Assumptions!$B$28+F10*Assumptions!$B$29</f>
        <v>52.75</v>
      </c>
      <c r="G20" s="25" t="n">
        <f aca="false">G7*Assumptions!$B$28+G10*Assumptions!$B$29</f>
        <v>105.5</v>
      </c>
      <c r="H20" s="25" t="n">
        <f aca="false">H7*Assumptions!$B$28+H10*Assumptions!$B$29</f>
        <v>263.75</v>
      </c>
      <c r="I20" s="25" t="n">
        <f aca="false">I7*Assumptions!$B$28+I10*Assumptions!$B$29</f>
        <v>527.5</v>
      </c>
    </row>
    <row r="21" customFormat="false" ht="15" hidden="false" customHeight="false" outlineLevel="0" collapsed="false">
      <c r="A21" s="7" t="s">
        <v>265</v>
      </c>
      <c r="B21" s="25" t="n">
        <f aca="false">CHOOSE(B6,'Fixed costs'!$I$24,'Fixed costs'!$J$24,'Fixed costs'!$K$24)</f>
        <v>231.845</v>
      </c>
      <c r="C21" s="25" t="n">
        <f aca="false">CHOOSE(C6,'Fixed costs'!$I$24,'Fixed costs'!$J$24,'Fixed costs'!$K$24)</f>
        <v>231.845</v>
      </c>
      <c r="D21" s="25" t="n">
        <f aca="false">CHOOSE(D6,'Fixed costs'!$I$24,'Fixed costs'!$J$24,'Fixed costs'!$K$24)</f>
        <v>231.845</v>
      </c>
      <c r="E21" s="25" t="n">
        <f aca="false">CHOOSE(E6,'Fixed costs'!$I$24,'Fixed costs'!$J$24,'Fixed costs'!$K$24)</f>
        <v>332.745</v>
      </c>
      <c r="F21" s="25" t="n">
        <f aca="false">CHOOSE(F6,'Fixed costs'!$I$24,'Fixed costs'!$J$24,'Fixed costs'!$K$24)</f>
        <v>332.745</v>
      </c>
      <c r="G21" s="25" t="n">
        <f aca="false">CHOOSE(G6,'Fixed costs'!$I$24,'Fixed costs'!$J$24,'Fixed costs'!$K$24)</f>
        <v>332.745</v>
      </c>
      <c r="H21" s="25" t="n">
        <f aca="false">CHOOSE(H6,'Fixed costs'!$I$24,'Fixed costs'!$J$24,'Fixed costs'!$K$24)</f>
        <v>647.27</v>
      </c>
      <c r="I21" s="25" t="n">
        <f aca="false">CHOOSE(I6,'Fixed costs'!$I$24,'Fixed costs'!$J$24,'Fixed costs'!$K$24)</f>
        <v>647.27</v>
      </c>
    </row>
    <row r="22" customFormat="false" ht="15" hidden="false" customHeight="false" outlineLevel="0" collapsed="false">
      <c r="A22" s="5" t="s">
        <v>266</v>
      </c>
      <c r="B22" s="30" t="n">
        <f aca="false">B19+B20+B21</f>
        <v>234.5906</v>
      </c>
      <c r="C22" s="30" t="n">
        <f aca="false">C19+C20+C21</f>
        <v>244.7962</v>
      </c>
      <c r="D22" s="30" t="n">
        <f aca="false">D19+D20+D21</f>
        <v>257.359</v>
      </c>
      <c r="E22" s="30" t="n">
        <f aca="false">E19+E20+E21</f>
        <v>396.7242</v>
      </c>
      <c r="F22" s="30" t="n">
        <f aca="false">F19+F20+F21</f>
        <v>460.315</v>
      </c>
      <c r="G22" s="30" t="n">
        <f aca="false">G19+G20+G21</f>
        <v>587.885</v>
      </c>
      <c r="H22" s="30" t="n">
        <f aca="false">H19+H20+H21</f>
        <v>1285.12</v>
      </c>
      <c r="I22" s="30" t="n">
        <f aca="false">I19+I20+I21</f>
        <v>1922.97</v>
      </c>
    </row>
    <row r="24" customFormat="false" ht="15" hidden="false" customHeight="false" outlineLevel="0" collapsed="false">
      <c r="A24" s="3" t="s">
        <v>267</v>
      </c>
      <c r="B24" s="4"/>
      <c r="C24" s="4"/>
      <c r="D24" s="4"/>
      <c r="E24" s="4"/>
      <c r="F24" s="4"/>
      <c r="G24" s="4"/>
      <c r="H24" s="4"/>
      <c r="I24" s="4"/>
    </row>
    <row r="25" customFormat="false" ht="15" hidden="false" customHeight="false" outlineLevel="0" collapsed="false">
      <c r="A25" s="5" t="s">
        <v>268</v>
      </c>
      <c r="B25" s="30" t="n">
        <f aca="false">B16-B22</f>
        <v>-203.636484297521</v>
      </c>
      <c r="C25" s="30" t="n">
        <f aca="false">C16-C22</f>
        <v>-102.862506336088</v>
      </c>
      <c r="D25" s="30" t="n">
        <f aca="false">D16-D22</f>
        <v>20.0899449035813</v>
      </c>
      <c r="E25" s="30" t="n">
        <f aca="false">E16-E22</f>
        <v>300.107383471074</v>
      </c>
      <c r="F25" s="30" t="n">
        <f aca="false">F16-F22</f>
        <v>926.929724517906</v>
      </c>
      <c r="G25" s="30" t="n">
        <f aca="false">G16-G22</f>
        <v>2186.60444903581</v>
      </c>
      <c r="H25" s="30" t="n">
        <f aca="false">H16-H22</f>
        <v>5651.10362258953</v>
      </c>
      <c r="I25" s="30" t="n">
        <f aca="false">I16-I22</f>
        <v>11949.4772451791</v>
      </c>
    </row>
    <row r="26" customFormat="false" ht="15" hidden="false" customHeight="false" outlineLevel="0" collapsed="false">
      <c r="A26" s="7" t="s">
        <v>269</v>
      </c>
      <c r="B26" s="25" t="n">
        <f aca="false">MAX(Assumptions!$B$35,MAX(0,B25)*Assumptions!$B$34)</f>
        <v>0</v>
      </c>
      <c r="C26" s="25" t="n">
        <f aca="false">MAX(Assumptions!$B$35,MAX(0,C25)*Assumptions!$B$34)</f>
        <v>0</v>
      </c>
      <c r="D26" s="25" t="n">
        <f aca="false">MAX(Assumptions!$B$35,MAX(0,D25)*Assumptions!$B$34)</f>
        <v>4.11843870523416</v>
      </c>
      <c r="E26" s="25" t="n">
        <f aca="false">MAX(Assumptions!$B$35,MAX(0,E25)*Assumptions!$B$34)</f>
        <v>61.5220136115702</v>
      </c>
      <c r="F26" s="25" t="n">
        <f aca="false">MAX(Assumptions!$B$35,MAX(0,F25)*Assumptions!$B$34)</f>
        <v>190.020593526171</v>
      </c>
      <c r="G26" s="25" t="n">
        <f aca="false">MAX(Assumptions!$B$35,MAX(0,G25)*Assumptions!$B$34)</f>
        <v>448.253912052342</v>
      </c>
      <c r="H26" s="25" t="n">
        <f aca="false">MAX(Assumptions!$B$35,MAX(0,H25)*Assumptions!$B$34)</f>
        <v>1158.47624263085</v>
      </c>
      <c r="I26" s="25" t="n">
        <f aca="false">MAX(Assumptions!$B$35,MAX(0,I25)*Assumptions!$B$34)</f>
        <v>2449.64283526171</v>
      </c>
    </row>
    <row r="27" customFormat="false" ht="15" hidden="false" customHeight="false" outlineLevel="0" collapsed="false">
      <c r="A27" s="5" t="s">
        <v>270</v>
      </c>
      <c r="B27" s="30" t="n">
        <f aca="false">B25-B26</f>
        <v>-203.636484297521</v>
      </c>
      <c r="C27" s="30" t="n">
        <f aca="false">C25-C26</f>
        <v>-102.862506336088</v>
      </c>
      <c r="D27" s="30" t="n">
        <f aca="false">D25-D26</f>
        <v>15.9715061983471</v>
      </c>
      <c r="E27" s="30" t="n">
        <f aca="false">E25-E26</f>
        <v>238.585369859504</v>
      </c>
      <c r="F27" s="30" t="n">
        <f aca="false">F25-F26</f>
        <v>736.909130991735</v>
      </c>
      <c r="G27" s="30" t="n">
        <f aca="false">G25-G26</f>
        <v>1738.35053698347</v>
      </c>
      <c r="H27" s="30" t="n">
        <f aca="false">H25-H26</f>
        <v>4492.62737995868</v>
      </c>
      <c r="I27" s="30" t="n">
        <f aca="false">I25-I26</f>
        <v>9499.83440991736</v>
      </c>
    </row>
    <row r="28" customFormat="false" ht="15" hidden="false" customHeight="false" outlineLevel="0" collapsed="false">
      <c r="A28" s="7" t="s">
        <v>271</v>
      </c>
      <c r="B28" s="25" t="n">
        <f aca="false">B27*12</f>
        <v>-2443.63781157025</v>
      </c>
      <c r="C28" s="25" t="n">
        <f aca="false">C27*12</f>
        <v>-1234.35007603306</v>
      </c>
      <c r="D28" s="25" t="n">
        <f aca="false">D27*12</f>
        <v>191.658074380165</v>
      </c>
      <c r="E28" s="25" t="n">
        <f aca="false">E27*12</f>
        <v>2863.02443831405</v>
      </c>
      <c r="F28" s="25" t="n">
        <f aca="false">F27*12</f>
        <v>8842.90957190083</v>
      </c>
      <c r="G28" s="25" t="n">
        <f aca="false">G27*12</f>
        <v>20860.2064438017</v>
      </c>
      <c r="H28" s="25" t="n">
        <f aca="false">H27*12</f>
        <v>53911.5285595041</v>
      </c>
      <c r="I28" s="25" t="n">
        <f aca="false">I27*12</f>
        <v>113998.012919008</v>
      </c>
    </row>
    <row r="30" customFormat="false" ht="15" hidden="false" customHeight="false" outlineLevel="0" collapsed="false">
      <c r="A30" s="3" t="s">
        <v>272</v>
      </c>
      <c r="B30" s="4"/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A31" s="7" t="s">
        <v>273</v>
      </c>
      <c r="B31" s="25" t="n">
        <f aca="false">IF(B5=0,0,B22/B5)</f>
        <v>2.345906</v>
      </c>
      <c r="C31" s="25" t="n">
        <f aca="false">IF(C5=0,0,C22/C5)</f>
        <v>0.4895924</v>
      </c>
      <c r="D31" s="25" t="n">
        <f aca="false">IF(D5=0,0,D22/D5)</f>
        <v>0.257359</v>
      </c>
      <c r="E31" s="25" t="n">
        <f aca="false">IF(E5=0,0,E22/E5)</f>
        <v>0.15868968</v>
      </c>
      <c r="F31" s="25" t="n">
        <f aca="false">IF(F5=0,0,F22/F5)</f>
        <v>0.092063</v>
      </c>
      <c r="G31" s="25" t="n">
        <f aca="false">IF(G5=0,0,G22/G5)</f>
        <v>0.0587885</v>
      </c>
      <c r="H31" s="25" t="n">
        <f aca="false">IF(H5=0,0,H22/H5)</f>
        <v>0.0514048</v>
      </c>
      <c r="I31" s="25" t="n">
        <f aca="false">IF(I5=0,0,I22/I5)</f>
        <v>0.0384594</v>
      </c>
    </row>
    <row r="32" customFormat="false" ht="15" hidden="false" customHeight="false" outlineLevel="0" collapsed="false">
      <c r="A32" s="7" t="s">
        <v>274</v>
      </c>
      <c r="B32" s="25" t="n">
        <f aca="false">IF(B10=0,0,B22/B10)</f>
        <v>39.0984333333333</v>
      </c>
      <c r="C32" s="25" t="n">
        <f aca="false">IF(C10=0,0,C22/C10)</f>
        <v>8.74272142857143</v>
      </c>
      <c r="D32" s="25" t="n">
        <f aca="false">IF(D10=0,0,D22/D10)</f>
        <v>4.67925454545455</v>
      </c>
      <c r="E32" s="25" t="n">
        <f aca="false">IF(E10=0,0,E22/E10)</f>
        <v>2.87481304347826</v>
      </c>
      <c r="F32" s="25" t="n">
        <f aca="false">IF(F10=0,0,F22/F10)</f>
        <v>1.67387272727273</v>
      </c>
      <c r="G32" s="25" t="n">
        <f aca="false">IF(G10=0,0,G22/G10)</f>
        <v>1.06888181818182</v>
      </c>
      <c r="H32" s="25" t="n">
        <f aca="false">IF(H10=0,0,H22/H10)</f>
        <v>0.934632727272727</v>
      </c>
      <c r="I32" s="25" t="n">
        <f aca="false">IF(I10=0,0,I22/I10)</f>
        <v>0.699261818181818</v>
      </c>
    </row>
    <row r="33" customFormat="false" ht="15" hidden="false" customHeight="false" outlineLevel="0" collapsed="false">
      <c r="A33" s="7" t="s">
        <v>275</v>
      </c>
      <c r="B33" s="25" t="n">
        <f aca="false">IF(B10=0,0,B16/B10)</f>
        <v>5.15901928374656</v>
      </c>
      <c r="C33" s="25" t="n">
        <f aca="false">IF(C10=0,0,C16/C10)</f>
        <v>5.06906048799685</v>
      </c>
      <c r="D33" s="25" t="n">
        <f aca="false">IF(D10=0,0,D16/D10)</f>
        <v>5.04452627097421</v>
      </c>
      <c r="E33" s="25" t="n">
        <f aca="false">IF(E10=0,0,E16/E10)</f>
        <v>5.04950422805126</v>
      </c>
      <c r="F33" s="25" t="n">
        <f aca="false">IF(F10=0,0,F16/F10)</f>
        <v>5.0445262709742</v>
      </c>
      <c r="G33" s="25" t="n">
        <f aca="false">IF(G10=0,0,G16/G10)</f>
        <v>5.0445262709742</v>
      </c>
      <c r="H33" s="25" t="n">
        <f aca="false">IF(H10=0,0,H16/H10)</f>
        <v>5.0445262709742</v>
      </c>
      <c r="I33" s="25" t="n">
        <f aca="false">IF(I10=0,0,I16/I10)</f>
        <v>5.0445262709742</v>
      </c>
    </row>
    <row r="34" customFormat="false" ht="15" hidden="false" customHeight="false" outlineLevel="0" collapsed="false">
      <c r="A34" s="7" t="s">
        <v>276</v>
      </c>
      <c r="B34" s="25" t="n">
        <f aca="false">Assumptions!$B$28</f>
        <v>0.01</v>
      </c>
      <c r="C34" s="25" t="n">
        <f aca="false">Assumptions!$B$28</f>
        <v>0.01</v>
      </c>
      <c r="D34" s="25" t="n">
        <f aca="false">Assumptions!$B$28</f>
        <v>0.01</v>
      </c>
      <c r="E34" s="25" t="n">
        <f aca="false">Assumptions!$B$28</f>
        <v>0.01</v>
      </c>
      <c r="F34" s="25" t="n">
        <f aca="false">Assumptions!$B$28</f>
        <v>0.01</v>
      </c>
      <c r="G34" s="25" t="n">
        <f aca="false">Assumptions!$B$28</f>
        <v>0.01</v>
      </c>
      <c r="H34" s="25" t="n">
        <f aca="false">Assumptions!$B$28</f>
        <v>0.01</v>
      </c>
      <c r="I34" s="25" t="n">
        <f aca="false">Assumptions!$B$28</f>
        <v>0.01</v>
      </c>
    </row>
    <row r="35" customFormat="false" ht="15" hidden="false" customHeight="false" outlineLevel="0" collapsed="false">
      <c r="A35" s="7" t="s">
        <v>277</v>
      </c>
      <c r="B35" s="29" t="n">
        <f aca="false">IF(B16=0,0,B25/B16)</f>
        <v>-6.57865617143797</v>
      </c>
      <c r="C35" s="29" t="n">
        <f aca="false">IF(C16=0,0,C25/C16)</f>
        <v>-0.724722253615542</v>
      </c>
      <c r="D35" s="29" t="n">
        <f aca="false">IF(D16=0,0,D25/D16)</f>
        <v>0.0724095199228922</v>
      </c>
      <c r="E35" s="29" t="n">
        <f aca="false">IF(E16=0,0,E25/E16)</f>
        <v>0.430674198170198</v>
      </c>
      <c r="F35" s="29" t="n">
        <f aca="false">IF(F16=0,0,F25/F16)</f>
        <v>0.6681803924971</v>
      </c>
      <c r="G35" s="29" t="n">
        <f aca="false">IF(G16=0,0,G25/G16)</f>
        <v>0.788110565637833</v>
      </c>
      <c r="H35" s="29" t="n">
        <f aca="false">IF(H16=0,0,H25/H16)</f>
        <v>0.814723389855153</v>
      </c>
      <c r="I35" s="29" t="n">
        <f aca="false">IF(I16=0,0,I25/I16)</f>
        <v>0.861382064316859</v>
      </c>
    </row>
    <row r="37" customFormat="false" ht="15" hidden="false" customHeight="false" outlineLevel="0" collapsed="false">
      <c r="A37" s="3" t="s">
        <v>278</v>
      </c>
      <c r="B37" s="4"/>
      <c r="C37" s="4"/>
      <c r="D37" s="4"/>
      <c r="E37" s="4"/>
      <c r="F37" s="4"/>
      <c r="G37" s="4"/>
      <c r="H37" s="4"/>
      <c r="I37" s="4"/>
    </row>
    <row r="38" customFormat="false" ht="15" hidden="false" customHeight="false" outlineLevel="0" collapsed="false">
      <c r="A38" s="7" t="s">
        <v>279</v>
      </c>
      <c r="B38" s="25" t="n">
        <f aca="false">B8*'Unit economics'!$Q$11+B9*'Unit economics'!$Q$12</f>
        <v>10.0792</v>
      </c>
      <c r="C38" s="25" t="n">
        <f aca="false">C8*'Unit economics'!$Q$11+C9*'Unit economics'!$Q$12</f>
        <v>44.892</v>
      </c>
      <c r="D38" s="25" t="n">
        <f aca="false">D8*'Unit economics'!$Q$11+D9*'Unit economics'!$Q$12</f>
        <v>87.032</v>
      </c>
      <c r="E38" s="25" t="n">
        <f aca="false">E8*'Unit economics'!$Q$11+E9*'Unit economics'!$Q$12</f>
        <v>218.956</v>
      </c>
      <c r="F38" s="25" t="n">
        <f aca="false">F8*'Unit economics'!$Q$11+F9*'Unit economics'!$Q$12</f>
        <v>435.16</v>
      </c>
      <c r="G38" s="25" t="n">
        <f aca="false">G8*'Unit economics'!$Q$11+G9*'Unit economics'!$Q$12</f>
        <v>870.32</v>
      </c>
      <c r="H38" s="25" t="n">
        <f aca="false">H8*'Unit economics'!$Q$11+H9*'Unit economics'!$Q$12</f>
        <v>2175.8</v>
      </c>
      <c r="I38" s="25" t="n">
        <f aca="false">I8*'Unit economics'!$Q$11+I9*'Unit economics'!$Q$12</f>
        <v>4351.6</v>
      </c>
    </row>
    <row r="39" customFormat="false" ht="15" hidden="false" customHeight="false" outlineLevel="0" collapsed="false">
      <c r="A39" s="5" t="s">
        <v>280</v>
      </c>
      <c r="B39" s="35" t="n">
        <f aca="false">B16-(B38+B20+B21)</f>
        <v>-212.030084297521</v>
      </c>
      <c r="C39" s="35" t="n">
        <f aca="false">C16-(C38+C20+C21)</f>
        <v>-140.083306336088</v>
      </c>
      <c r="D39" s="35" t="n">
        <f aca="false">D16-(D38+D20+D21)</f>
        <v>-51.9780550964188</v>
      </c>
      <c r="E39" s="35" t="n">
        <f aca="false">E16-(E38+E20+E21)</f>
        <v>118.750583471074</v>
      </c>
      <c r="F39" s="35" t="n">
        <f aca="false">F16-(F38+F20+F21)</f>
        <v>566.589724517906</v>
      </c>
      <c r="G39" s="35" t="n">
        <f aca="false">G16-(G38+G20+G21)</f>
        <v>1465.92444903581</v>
      </c>
      <c r="H39" s="35" t="n">
        <f aca="false">H16-(H38+H20+H21)</f>
        <v>3849.40362258953</v>
      </c>
      <c r="I39" s="35" t="n">
        <f aca="false">I16-(I38+I20+I21)</f>
        <v>8346.07724517906</v>
      </c>
    </row>
    <row r="41" customFormat="false" ht="15" hidden="false" customHeight="false" outlineLevel="0" collapsed="false">
      <c r="A41" s="21" t="s">
        <v>281</v>
      </c>
    </row>
    <row r="42" customFormat="false" ht="15" hidden="false" customHeight="false" outlineLevel="0" collapsed="false">
      <c r="A42" s="21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24"/>
    <col collapsed="false" customWidth="true" hidden="false" outlineLevel="0" max="5" min="5" style="0" width="4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283</v>
      </c>
    </row>
    <row r="2" customFormat="false" ht="15" hidden="false" customHeight="false" outlineLevel="0" collapsed="false">
      <c r="A2" s="2" t="s">
        <v>284</v>
      </c>
    </row>
    <row r="4" customFormat="false" ht="15" hidden="false" customHeight="false" outlineLevel="0" collapsed="false">
      <c r="A4" s="11" t="s">
        <v>285</v>
      </c>
      <c r="B4" s="11" t="s">
        <v>286</v>
      </c>
      <c r="C4" s="11" t="s">
        <v>227</v>
      </c>
      <c r="D4" s="11" t="s">
        <v>230</v>
      </c>
      <c r="E4" s="11" t="s">
        <v>287</v>
      </c>
      <c r="F4" s="11" t="s">
        <v>288</v>
      </c>
    </row>
    <row r="5" customFormat="false" ht="26.85" hidden="false" customHeight="false" outlineLevel="0" collapsed="false">
      <c r="A5" s="36" t="s">
        <v>289</v>
      </c>
      <c r="B5" s="13" t="s">
        <v>290</v>
      </c>
      <c r="C5" s="13" t="s">
        <v>291</v>
      </c>
      <c r="D5" s="13" t="s">
        <v>292</v>
      </c>
      <c r="E5" s="13" t="s">
        <v>293</v>
      </c>
      <c r="F5" s="13" t="s">
        <v>294</v>
      </c>
    </row>
    <row r="6" customFormat="false" ht="26.85" hidden="false" customHeight="false" outlineLevel="0" collapsed="false">
      <c r="A6" s="36" t="s">
        <v>295</v>
      </c>
      <c r="B6" s="13" t="s">
        <v>296</v>
      </c>
      <c r="C6" s="13" t="s">
        <v>297</v>
      </c>
      <c r="D6" s="13" t="s">
        <v>297</v>
      </c>
      <c r="E6" s="13" t="s">
        <v>298</v>
      </c>
      <c r="F6" s="13" t="s">
        <v>299</v>
      </c>
    </row>
    <row r="7" customFormat="false" ht="26.85" hidden="false" customHeight="false" outlineLevel="0" collapsed="false">
      <c r="A7" s="36" t="s">
        <v>300</v>
      </c>
      <c r="B7" s="13" t="s">
        <v>301</v>
      </c>
      <c r="C7" s="13" t="s">
        <v>302</v>
      </c>
      <c r="D7" s="13" t="s">
        <v>303</v>
      </c>
      <c r="E7" s="13" t="s">
        <v>304</v>
      </c>
      <c r="F7" s="13" t="s">
        <v>305</v>
      </c>
    </row>
    <row r="8" customFormat="false" ht="26.85" hidden="false" customHeight="false" outlineLevel="0" collapsed="false">
      <c r="A8" s="36" t="s">
        <v>306</v>
      </c>
      <c r="B8" s="13" t="s">
        <v>307</v>
      </c>
      <c r="C8" s="13" t="s">
        <v>308</v>
      </c>
      <c r="D8" s="13" t="s">
        <v>230</v>
      </c>
      <c r="E8" s="13" t="s">
        <v>309</v>
      </c>
      <c r="F8" s="13" t="s">
        <v>310</v>
      </c>
    </row>
    <row r="9" customFormat="false" ht="26.85" hidden="false" customHeight="false" outlineLevel="0" collapsed="false">
      <c r="A9" s="36" t="s">
        <v>311</v>
      </c>
      <c r="B9" s="13" t="s">
        <v>307</v>
      </c>
      <c r="C9" s="13" t="s">
        <v>312</v>
      </c>
      <c r="D9" s="13" t="s">
        <v>313</v>
      </c>
      <c r="E9" s="13" t="s">
        <v>314</v>
      </c>
      <c r="F9" s="13" t="s">
        <v>315</v>
      </c>
    </row>
    <row r="10" customFormat="false" ht="26.85" hidden="false" customHeight="false" outlineLevel="0" collapsed="false">
      <c r="A10" s="36" t="s">
        <v>316</v>
      </c>
      <c r="B10" s="13" t="s">
        <v>317</v>
      </c>
      <c r="C10" s="13" t="s">
        <v>318</v>
      </c>
      <c r="D10" s="13" t="s">
        <v>319</v>
      </c>
      <c r="E10" s="13" t="s">
        <v>320</v>
      </c>
      <c r="F10" s="13" t="s">
        <v>321</v>
      </c>
    </row>
    <row r="11" customFormat="false" ht="15" hidden="false" customHeight="false" outlineLevel="0" collapsed="false">
      <c r="A11" s="36" t="s">
        <v>322</v>
      </c>
      <c r="B11" s="13" t="s">
        <v>323</v>
      </c>
      <c r="C11" s="13" t="s">
        <v>324</v>
      </c>
      <c r="D11" s="13" t="s">
        <v>319</v>
      </c>
      <c r="E11" s="13" t="s">
        <v>325</v>
      </c>
      <c r="F11" s="13" t="s">
        <v>326</v>
      </c>
    </row>
    <row r="12" customFormat="false" ht="26.85" hidden="false" customHeight="false" outlineLevel="0" collapsed="false">
      <c r="A12" s="36" t="s">
        <v>327</v>
      </c>
      <c r="B12" s="13" t="s">
        <v>307</v>
      </c>
      <c r="C12" s="13" t="s">
        <v>328</v>
      </c>
      <c r="D12" s="13" t="s">
        <v>329</v>
      </c>
      <c r="E12" s="13" t="s">
        <v>330</v>
      </c>
      <c r="F12" s="13" t="s">
        <v>331</v>
      </c>
    </row>
    <row r="13" customFormat="false" ht="27.6" hidden="false" customHeight="false" outlineLevel="0" collapsed="false">
      <c r="A13" s="36" t="s">
        <v>332</v>
      </c>
      <c r="B13" s="13" t="s">
        <v>333</v>
      </c>
      <c r="C13" s="13" t="s">
        <v>333</v>
      </c>
      <c r="D13" s="13" t="s">
        <v>333</v>
      </c>
      <c r="E13" s="13" t="s">
        <v>334</v>
      </c>
      <c r="F13" s="13" t="s">
        <v>335</v>
      </c>
    </row>
    <row r="14" customFormat="false" ht="15" hidden="false" customHeight="false" outlineLevel="0" collapsed="false">
      <c r="A14" s="36" t="s">
        <v>336</v>
      </c>
      <c r="B14" s="13" t="s">
        <v>333</v>
      </c>
      <c r="C14" s="13" t="s">
        <v>333</v>
      </c>
      <c r="D14" s="13" t="s">
        <v>333</v>
      </c>
      <c r="E14" s="13" t="s">
        <v>337</v>
      </c>
      <c r="F14" s="13" t="s">
        <v>338</v>
      </c>
    </row>
    <row r="16" customFormat="false" ht="15" hidden="false" customHeight="false" outlineLevel="0" collapsed="false">
      <c r="A16" s="3" t="s">
        <v>339</v>
      </c>
      <c r="B16" s="4"/>
      <c r="C16" s="4"/>
      <c r="D16" s="4"/>
      <c r="E16" s="4"/>
      <c r="F16" s="4"/>
    </row>
    <row r="17" customFormat="false" ht="31.5" hidden="false" customHeight="true" outlineLevel="0" collapsed="false">
      <c r="A17" s="7" t="n">
        <v>1</v>
      </c>
      <c r="B17" s="37" t="s">
        <v>340</v>
      </c>
      <c r="C17" s="37"/>
      <c r="D17" s="37"/>
      <c r="E17" s="37"/>
      <c r="F17" s="37"/>
    </row>
    <row r="18" customFormat="false" ht="31.5" hidden="false" customHeight="true" outlineLevel="0" collapsed="false">
      <c r="A18" s="7" t="n">
        <v>2</v>
      </c>
      <c r="B18" s="37" t="s">
        <v>341</v>
      </c>
      <c r="C18" s="37"/>
      <c r="D18" s="37"/>
      <c r="E18" s="37"/>
      <c r="F18" s="37"/>
    </row>
    <row r="19" customFormat="false" ht="31.5" hidden="false" customHeight="true" outlineLevel="0" collapsed="false">
      <c r="A19" s="7" t="n">
        <v>3</v>
      </c>
      <c r="B19" s="37" t="s">
        <v>342</v>
      </c>
      <c r="C19" s="37"/>
      <c r="D19" s="37"/>
      <c r="E19" s="37"/>
      <c r="F19" s="37"/>
    </row>
    <row r="20" customFormat="false" ht="31.5" hidden="false" customHeight="true" outlineLevel="0" collapsed="false">
      <c r="A20" s="7" t="n">
        <v>4</v>
      </c>
      <c r="B20" s="37" t="s">
        <v>343</v>
      </c>
      <c r="C20" s="37"/>
      <c r="D20" s="37"/>
      <c r="E20" s="37"/>
      <c r="F20" s="37"/>
    </row>
    <row r="21" customFormat="false" ht="31.5" hidden="false" customHeight="true" outlineLevel="0" collapsed="false">
      <c r="A21" s="7" t="n">
        <v>5</v>
      </c>
      <c r="B21" s="37" t="s">
        <v>344</v>
      </c>
      <c r="C21" s="37"/>
      <c r="D21" s="37"/>
      <c r="E21" s="37"/>
      <c r="F21" s="37"/>
    </row>
    <row r="22" customFormat="false" ht="31.5" hidden="false" customHeight="true" outlineLevel="0" collapsed="false">
      <c r="A22" s="7" t="n">
        <v>6</v>
      </c>
      <c r="B22" s="37" t="s">
        <v>345</v>
      </c>
      <c r="C22" s="37"/>
      <c r="D22" s="37"/>
      <c r="E22" s="37"/>
      <c r="F22" s="37"/>
    </row>
    <row r="23" customFormat="false" ht="31.5" hidden="false" customHeight="true" outlineLevel="0" collapsed="false">
      <c r="A23" s="7" t="n">
        <v>7</v>
      </c>
      <c r="B23" s="37" t="s">
        <v>346</v>
      </c>
      <c r="C23" s="37"/>
      <c r="D23" s="37"/>
      <c r="E23" s="37"/>
      <c r="F23" s="37"/>
    </row>
    <row r="24" customFormat="false" ht="31.5" hidden="false" customHeight="true" outlineLevel="0" collapsed="false">
      <c r="A24" s="7" t="n">
        <v>8</v>
      </c>
      <c r="B24" s="37" t="s">
        <v>347</v>
      </c>
      <c r="C24" s="37"/>
      <c r="D24" s="37"/>
      <c r="E24" s="37"/>
      <c r="F24" s="37"/>
    </row>
    <row r="25" customFormat="false" ht="31.5" hidden="false" customHeight="true" outlineLevel="0" collapsed="false">
      <c r="A25" s="7" t="n">
        <v>9</v>
      </c>
      <c r="B25" s="37" t="s">
        <v>348</v>
      </c>
      <c r="C25" s="37"/>
      <c r="D25" s="37"/>
      <c r="E25" s="37"/>
      <c r="F25" s="37"/>
    </row>
    <row r="26" customFormat="false" ht="31.5" hidden="false" customHeight="true" outlineLevel="0" collapsed="false">
      <c r="A26" s="7" t="n">
        <v>10</v>
      </c>
      <c r="B26" s="37" t="s">
        <v>349</v>
      </c>
      <c r="C26" s="37"/>
      <c r="D26" s="37"/>
      <c r="E26" s="37"/>
      <c r="F26" s="37"/>
    </row>
    <row r="27" customFormat="false" ht="31.5" hidden="false" customHeight="true" outlineLevel="0" collapsed="false">
      <c r="A27" s="7" t="n">
        <v>11</v>
      </c>
      <c r="B27" s="37" t="s">
        <v>350</v>
      </c>
      <c r="C27" s="37"/>
      <c r="D27" s="37"/>
      <c r="E27" s="37"/>
      <c r="F27" s="37"/>
    </row>
    <row r="28" customFormat="false" ht="31.5" hidden="false" customHeight="true" outlineLevel="0" collapsed="false">
      <c r="A28" s="7" t="n">
        <v>12</v>
      </c>
      <c r="B28" s="37" t="s">
        <v>351</v>
      </c>
      <c r="C28" s="37"/>
      <c r="D28" s="37"/>
      <c r="E28" s="37"/>
      <c r="F28" s="37"/>
    </row>
  </sheetData>
  <mergeCells count="12">
    <mergeCell ref="B17:F17"/>
    <mergeCell ref="B18:F18"/>
    <mergeCell ref="B19:F19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2026-09-29T11:40:02Z</dcterms:created>
  <dc:creator>openpyxl</dc:creator>
  <dc:description/>
  <dc:language>en-US</dc:language>
  <cp:lastModifiedBy/>
  <dcterms:modified xsi:type="dcterms:W3CDTF">2026-09-29T11:46:29Z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