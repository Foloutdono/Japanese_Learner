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Pricing" sheetId="3" state="visible" r:id="rId5"/>
    <sheet name="AI worst case" sheetId="4" state="visible" r:id="rId6"/>
    <sheet name="Start-up costs" sheetId="5" state="visible" r:id="rId7"/>
    <sheet name="Fixed costs" sheetId="6" state="visible" r:id="rId8"/>
    <sheet name="Unit economics" sheetId="7" state="visible" r:id="rId9"/>
    <sheet name="Projection" sheetId="8" state="visible" r:id="rId10"/>
    <sheet name="Offer review"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<sst xmlns="http://schemas.openxmlformats.org/spreadsheetml/2006/main" count="738" uniqueCount="550">
  <si>
    <t xml:space="preserve">Tsuji — cost overview</t>
  </si>
  <si>
    <t xml:space="preserve">All figures in €. Green = pulled from another sheet. Status: student self-employed (étudiant-indépendant), VAT-exempt while eligible.</t>
  </si>
  <si>
    <t xml:space="preserve">Prices (VAT included)</t>
  </si>
  <si>
    <t xml:space="preserve">Pro – monthly / annual</t>
  </si>
  <si>
    <t xml:space="preserve">Max – monthly / annual</t>
  </si>
  <si>
    <t xml:space="preserve">To start (one-off)</t>
  </si>
  <si>
    <t xml:space="preserve">Start-up costs – required items, expected</t>
  </si>
  <si>
    <t xml:space="preserve">Start-up costs – including optional items (EU trademark, Mac, marketing…)</t>
  </si>
  <si>
    <t xml:space="preserve">Fixed costs per month</t>
  </si>
  <si>
    <t xml:space="preserve">Launch stage</t>
  </si>
  <si>
    <t xml:space="preserve">Growth stage</t>
  </si>
  <si>
    <t xml:space="preserve">Scale stage</t>
  </si>
  <si>
    <t xml:space="preserve">First 12 months before any revenue (start-up + 12 × Launch)</t>
  </si>
  <si>
    <t xml:space="preserve">Per subscriber, per month (after VAT, fees, LLM, infrastructure)</t>
  </si>
  <si>
    <t xml:space="preserve">Pro – contribution margin (blended monthly/annual)</t>
  </si>
  <si>
    <t xml:space="preserve">Max – contribution margin (blended)</t>
  </si>
  <si>
    <t xml:space="preserve">All payers – contribution margin</t>
  </si>
  <si>
    <t xml:space="preserve">All payers – margin, worst-case LLM</t>
  </si>
  <si>
    <t xml:space="preserve">One free user – variable cost</t>
  </si>
  <si>
    <t xml:space="preserve">Break-even at the Launch stage (conservative, with VAT on web sales)</t>
  </si>
  <si>
    <t xml:space="preserve">Paying users needed</t>
  </si>
  <si>
    <t xml:space="preserve">Active users needed (at the assumed conversion)</t>
  </si>
  <si>
    <t xml:space="preserve">Projection (from the 'Projection' sheet)</t>
  </si>
  <si>
    <t xml:space="preserve">Active users</t>
  </si>
  <si>
    <t xml:space="preserve">Net revenue / month</t>
  </si>
  <si>
    <t xml:space="preserve">Total costs / month</t>
  </si>
  <si>
    <t xml:space="preserve">Social contributions / month</t>
  </si>
  <si>
    <t xml:space="preserve">Result after social contributions / month</t>
  </si>
  <si>
    <t xml:space="preserve">VAT exemption applies? (1 = yes)</t>
  </si>
  <si>
    <t xml:space="preserve">Still within the student status?</t>
  </si>
  <si>
    <t xml:space="preserve">Cost per active user / month</t>
  </si>
  <si>
    <t xml:space="preserve">Cost per paying user / month</t>
  </si>
  <si>
    <t xml:space="preserve">Assumptions</t>
  </si>
  <si>
    <t xml:space="preserve">Blue = input you can change · yellow = key assumption to check · every other sheet reads from here.</t>
  </si>
  <si>
    <t xml:space="preserve">Parameter</t>
  </si>
  <si>
    <t xml:space="preserve">Value</t>
  </si>
  <si>
    <t xml:space="preserve">Unit</t>
  </si>
  <si>
    <t xml:space="preserve">Source / note</t>
  </si>
  <si>
    <t xml:space="preserve">General</t>
  </si>
  <si>
    <t xml:space="preserve">Exchange rate USD → EUR</t>
  </si>
  <si>
    <t xml:space="preserve">€ per $</t>
  </si>
  <si>
    <t xml:space="preserve">Most providers bill in USD. Set to the current rate.</t>
  </si>
  <si>
    <t xml:space="preserve">VAT rate on consumer sales</t>
  </si>
  <si>
    <t xml:space="preserve">%</t>
  </si>
  <si>
    <t xml:space="preserve">Belgium 21%. Buyers elsewhere in the EU pay their country's rate through the OSS (FR 20%, DE 19%...). Prices are VAT-inclusive.</t>
  </si>
  <si>
    <t xml:space="preserve">VAT you pay on services bought abroad, and can't deduct</t>
  </si>
  <si>
    <t xml:space="preserve">Under the small-business VAT exemption you can't deduct VAT. Services from outside Belgium (Render, Vercel, Supabase, Google AI, Apple...) are taxed through the reverse charge at 21% and cost 21% more. Set to 0% once you register for VAT normally. Check this with your accountant.</t>
  </si>
  <si>
    <t xml:space="preserve">Prices (VAT included) – see the 'Pricing' sheet</t>
  </si>
  <si>
    <t xml:space="preserve">Pro – monthly</t>
  </si>
  <si>
    <t xml:space="preserve">€ / month</t>
  </si>
  <si>
    <t xml:space="preserve">Proposed. Was €8.</t>
  </si>
  <si>
    <t xml:space="preserve">Pro – annual</t>
  </si>
  <si>
    <t xml:space="preserve">€ / year</t>
  </si>
  <si>
    <t xml:space="preserve">Proposed: '€5 a month'. Was €52.</t>
  </si>
  <si>
    <t xml:space="preserve">Max – monthly</t>
  </si>
  <si>
    <t xml:space="preserve">Proposed. Was €12 (as 'Unlimited').</t>
  </si>
  <si>
    <t xml:space="preserve">Max – annual</t>
  </si>
  <si>
    <t xml:space="preserve">Proposed. Was €65.</t>
  </si>
  <si>
    <t xml:space="preserve">Who pays, and how</t>
  </si>
  <si>
    <t xml:space="preserve">Share of active users on Pro</t>
  </si>
  <si>
    <t xml:space="preserve">% of MAU</t>
  </si>
  <si>
    <t xml:space="preserve">Freemium language apps typically convert 2–8% of active users. Replace with real data after launch.</t>
  </si>
  <si>
    <t xml:space="preserve">Share of active users on Max</t>
  </si>
  <si>
    <t xml:space="preserve">Max is sold mainly as an upgrade when a Pro user reaches a limit, so it stays small.</t>
  </si>
  <si>
    <t xml:space="preserve">Share of Pro payers on the annual plan</t>
  </si>
  <si>
    <t xml:space="preserve">% of Pro payers</t>
  </si>
  <si>
    <t xml:space="preserve">The goal: most Pro buyers choose the annual plan (pre-selected, '€5 a month', trial on annual only).</t>
  </si>
  <si>
    <t xml:space="preserve">Share of Max payers on the annual plan</t>
  </si>
  <si>
    <t xml:space="preserve">% of Max payers</t>
  </si>
  <si>
    <t xml:space="preserve">Upgrades from Pro annual go to annual; upgrades from Pro monthly go to monthly.</t>
  </si>
  <si>
    <t xml:space="preserve">Share bought through the App Store / Google Play</t>
  </si>
  <si>
    <t xml:space="preserve">% of payers</t>
  </si>
  <si>
    <t xml:space="preserve">The rest is bought on the web (Stripe). Selling the annual plan on the landing page avoids the commission.</t>
  </si>
  <si>
    <t xml:space="preserve">Payment fees</t>
  </si>
  <si>
    <t xml:space="preserve">App Store / Google Play commission</t>
  </si>
  <si>
    <t xml:space="preserve">% of price excl. VAT</t>
  </si>
  <si>
    <t xml:space="preserve">15% under the Small Business Programs (&lt; $1M/yr) and on every subscription after its first year; 30% otherwise. Stores collect and remit VAT for you.</t>
  </si>
  <si>
    <t xml:space="preserve">Stripe card fee (EEA cards)</t>
  </si>
  <si>
    <t xml:space="preserve">% of charge</t>
  </si>
  <si>
    <t xml:space="preserve">Stripe Belgium standard EEA cards: 1.5% + €0.25.</t>
  </si>
  <si>
    <t xml:space="preserve">Stripe fixed fee per charge</t>
  </si>
  <si>
    <t xml:space="preserve">€ / charge</t>
  </si>
  <si>
    <t xml:space="preserve">Paid on every monthly renewal, once a year on annual plans.</t>
  </si>
  <si>
    <t xml:space="preserve">Stripe Billing (subscriptions)</t>
  </si>
  <si>
    <t xml:space="preserve">Stripe Billing pay-as-you-go.</t>
  </si>
  <si>
    <t xml:space="preserve">Small-business VAT exemption (franchise regime)</t>
  </si>
  <si>
    <t xml:space="preserve">Use the VAT exemption while you're eligible (Y/N)</t>
  </si>
  <si>
    <t xml:space="preserve">Y</t>
  </si>
  <si>
    <t xml:space="preserve">Y / N</t>
  </si>
  <si>
    <t xml:space="preserve">Web buyers are then charged no VAT and you keep the whole price. The stores still apply VAT (they are the seller in-app).</t>
  </si>
  <si>
    <t xml:space="preserve">Annual turnover limit for the exemption</t>
  </si>
  <si>
    <t xml:space="preserve">Belgian small-business exemption limit.</t>
  </si>
  <si>
    <t xml:space="preserve">Limit for web sales to consumers in other EU countries</t>
  </si>
  <si>
    <t xml:space="preserve">Above this, buyers abroad pay their own country's VAT (e.g. 20% in France) even if you're exempt in Belgium. Tsuji is French-first, so this limit comes first.</t>
  </si>
  <si>
    <t xml:space="preserve">Share of web buyers outside Belgium</t>
  </si>
  <si>
    <t xml:space="preserve">% of web sales</t>
  </si>
  <si>
    <t xml:space="preserve">Assumption: mostly French-speaking buyers in France.</t>
  </si>
  <si>
    <t xml:space="preserve">Variable cost per user per month</t>
  </si>
  <si>
    <t xml:space="preserve">LLM cost – Pro user, expected</t>
  </si>
  <si>
    <t xml:space="preserve">$ / month</t>
  </si>
  <si>
    <t xml:space="preserve">scripts/llm_cost_model.py --fleet: Gemini 3.1 Flash-Lite, 70% light / 25% typical / 5% heavy, with caching. The free Explain button is included (phrase analysis, mostly cached).</t>
  </si>
  <si>
    <t xml:space="preserve">LLM cost – Pro user, worst case</t>
  </si>
  <si>
    <t xml:space="preserve">From 'AI worst case' (full-price tier): every AI allowance used to the full, every day.</t>
  </si>
  <si>
    <t xml:space="preserve">LLM cost – Max user, expected</t>
  </si>
  <si>
    <t xml:space="preserve">llm_cost_model.py 'typical' user: Max buyers use the app more.</t>
  </si>
  <si>
    <t xml:space="preserve">LLM cost – Max user, worst case</t>
  </si>
  <si>
    <t xml:space="preserve">Variable infrastructure – free user</t>
  </si>
  <si>
    <t xml:space="preserve">Database, auth and bandwidth beyond what the fixed plans include.</t>
  </si>
  <si>
    <t xml:space="preserve">Variable infrastructure – paying user</t>
  </si>
  <si>
    <t xml:space="preserve">More audio, practice logs and analyser history.</t>
  </si>
  <si>
    <t xml:space="preserve">Stages (which fixed-cost column applies)</t>
  </si>
  <si>
    <t xml:space="preserve">Growth stage starts at</t>
  </si>
  <si>
    <t xml:space="preserve">active users</t>
  </si>
  <si>
    <t xml:space="preserve">Bigger Render/Supabase plans, paid e-mail. See 'Fixed costs'.</t>
  </si>
  <si>
    <t xml:space="preserve">Scale stage starts at</t>
  </si>
  <si>
    <t xml:space="preserve">Social contributions – student self-employed (étudiant-indépendant), 2026</t>
  </si>
  <si>
    <t xml:space="preserve">No contributions up to</t>
  </si>
  <si>
    <t xml:space="preserve">€ net profit / year</t>
  </si>
  <si>
    <t xml:space="preserve">Below this taxable profit you owe nothing (2026, UCM / Liantis / Partena).</t>
  </si>
  <si>
    <t xml:space="preserve">Student status limit</t>
  </si>
  <si>
    <t xml:space="preserve">Between the two limits: 20.5% of the part above €8,687.04. At or above this one you pay as a full-time self-employed person.</t>
  </si>
  <si>
    <t xml:space="preserve">Contribution rate</t>
  </si>
  <si>
    <t xml:space="preserve">20.5% (applies up to ≈ €75k a year; the lower rate above that isn't modelled).</t>
  </si>
  <si>
    <t xml:space="preserve">Full-time self-employed minimum, per quarter</t>
  </si>
  <si>
    <t xml:space="preserve">€ / quarter</t>
  </si>
  <si>
    <t xml:space="preserve">Applies once profit reaches the student status limit (2026; sources give €917.58–925.59, check with your fund).</t>
  </si>
  <si>
    <t xml:space="preserve">Not modelled: income tax (IPP). Everything here is before income tax. Student self-employed status: 18–25 years old, enrolled for at least 27 credits, proof sent to your fund every year.</t>
  </si>
  <si>
    <t xml:space="preserve">Pricing: pushing the annual Pro plan, with Max as the upgrade</t>
  </si>
  <si>
    <t xml:space="preserve">Old prices are your first grid; full prices come from Assumptions (change them there); regional prices are at the bottom.</t>
  </si>
  <si>
    <t xml:space="preserve">Plan</t>
  </si>
  <si>
    <t xml:space="preserve">Billing</t>
  </si>
  <si>
    <t xml:space="preserve">Old price (€)</t>
  </si>
  <si>
    <t xml:space="preserve">Full price, tier 1 (€)</t>
  </si>
  <si>
    <t xml:space="preserve">Per month (€)</t>
  </si>
  <si>
    <t xml:space="preserve">Saving vs monthly</t>
  </si>
  <si>
    <t xml:space="preserve">Change vs old</t>
  </si>
  <si>
    <t xml:space="preserve">Store price point?</t>
  </si>
  <si>
    <t xml:space="preserve">Pro</t>
  </si>
  <si>
    <t xml:space="preserve">Monthly</t>
  </si>
  <si>
    <t xml:space="preserve">Annual</t>
  </si>
  <si>
    <t xml:space="preserve">Max</t>
  </si>
  <si>
    <t xml:space="preserve">Upgrade to Max (when a Pro user reaches a limit)</t>
  </si>
  <si>
    <t xml:space="preserve">From Pro annual to Max annual, per year</t>
  </si>
  <si>
    <t xml:space="preserve">… per month</t>
  </si>
  <si>
    <t xml:space="preserve">From Pro monthly to Max monthly, per month</t>
  </si>
  <si>
    <t xml:space="preserve">Charge only the difference for the months left (proration): the stores do it automatically for upgrades within a subscription group, and so does Stripe.</t>
  </si>
  <si>
    <t xml:space="preserve">Competitors (list prices, USD)</t>
  </si>
  <si>
    <t xml:space="preserve">App</t>
  </si>
  <si>
    <t xml:space="preserve">What it covers</t>
  </si>
  <si>
    <t xml:space="preserve">Monthly ($)</t>
  </si>
  <si>
    <t xml:space="preserve">Annual ($)</t>
  </si>
  <si>
    <t xml:space="preserve">Lifetime ($)</t>
  </si>
  <si>
    <t xml:space="preserve">Source</t>
  </si>
  <si>
    <t xml:space="preserve">WaniKani</t>
  </si>
  <si>
    <t xml:space="preserve">Kanji and vocabulary only</t>
  </si>
  <si>
    <t xml:space="preserve">wanilog.com, 2026</t>
  </si>
  <si>
    <t xml:space="preserve">Bunpro</t>
  </si>
  <si>
    <t xml:space="preserve">Grammar only</t>
  </si>
  <si>
    <t xml:space="preserve">—</t>
  </si>
  <si>
    <t xml:space="preserve">languavibe.com, May 2026</t>
  </si>
  <si>
    <t xml:space="preserve">Renshuu Pro</t>
  </si>
  <si>
    <t xml:space="preserve">Vocab, kanji, grammar</t>
  </si>
  <si>
    <t xml:space="preserve">App Store listing, 2026</t>
  </si>
  <si>
    <t xml:space="preserve">WaniKani + Bunpro</t>
  </si>
  <si>
    <t xml:space="preserve">What Tsuji Pro replaces</t>
  </si>
  <si>
    <t xml:space="preserve">Sum of the two monthly prices</t>
  </si>
  <si>
    <t xml:space="preserve">Why these prices</t>
  </si>
  <si>
    <t xml:space="preserve">Pro annual is the headline: €59.99 = '€5 a month'. Show it first, pre-selected, with 'Save 44%'. It's +15% over the old €52, but still below WaniKani alone ($89) while covering kana, vocab, kanji, grammar, practice, mock exams and the analyser.</t>
  </si>
  <si>
    <t xml:space="preserve">Pro monthly (€8.99) is the anchor. It's there to make the annual plan look cheap, and it's the same price as WaniKani's monthly plan. Few people should pick it.</t>
  </si>
  <si>
    <t xml:space="preserve">Max annual (€99.99) is €40 more than Pro annual, a real step. The old €13 gap made Max annual the obvious pick and Pro annual pointless. Now the upgrade, when a Pro user reaches a limit, reads '+€3.33 a month'.</t>
  </si>
  <si>
    <t xml:space="preserve">Max monthly (€14.99) stays under the big general apps' premium plans, and gives monthly Pro users a clear step up.</t>
  </si>
  <si>
    <t xml:space="preserve">All four prices are standard App Store / Google Play price points (x.99).</t>
  </si>
  <si>
    <t xml:space="preserve">Levers for more annual Pro (not modelled): a 7-day free trial on Pro annual only, and a launch offer for early users (e.g. €49.99 the first year).</t>
  </si>
  <si>
    <t xml:space="preserve">Sell the annual plan on the web too (landing page, Stripe). In-app you keep about 70% of the price; on the web, VAT-exempt, about 98% (see 'Unit economics').</t>
  </si>
  <si>
    <t xml:space="preserve">The numbers to re-check after launch: conversion, the annual share, and how many Pro users reach a limit. Change them in Assumptions.</t>
  </si>
  <si>
    <t xml:space="preserve">Regional prices, by purchasing power</t>
  </si>
  <si>
    <t xml:space="preserve">Tier</t>
  </si>
  <si>
    <t xml:space="preserve">Countries (examples)</t>
  </si>
  <si>
    <t xml:space="preserve">Share of payers</t>
  </si>
  <si>
    <t xml:space="preserve">Pro price &amp; AI multiplier</t>
  </si>
  <si>
    <t xml:space="preserve">Max price &amp; AI multiplier</t>
  </si>
  <si>
    <t xml:space="preserve">Pro monthly (€)</t>
  </si>
  <si>
    <t xml:space="preserve">Pro annual (€)</t>
  </si>
  <si>
    <t xml:space="preserve">Max monthly (€)</t>
  </si>
  <si>
    <t xml:space="preserve">Max annual (€)</t>
  </si>
  <si>
    <t xml:space="preserve">Pro monthly: worst-case margin/mo (€)</t>
  </si>
  <si>
    <t xml:space="preserve">Pro annual: worst-case margin/mo (€)</t>
  </si>
  <si>
    <t xml:space="preserve">Max monthly: worst-case margin/mo (€)</t>
  </si>
  <si>
    <t xml:space="preserve">Max annual: worst-case margin/mo (€)</t>
  </si>
  <si>
    <t xml:space="preserve">Every plan covers its worst case?</t>
  </si>
  <si>
    <t xml:space="preserve">1 – Full price</t>
  </si>
  <si>
    <t xml:space="preserve">Belgium, France, Switzerland, Luxembourg, Germany, Netherlands, Nordics, UK, US, Canada, Australia, Japan</t>
  </si>
  <si>
    <t xml:space="preserve">2 – Reduced</t>
  </si>
  <si>
    <t xml:space="preserve">Spain, Italy, Portugal, Greece, Poland, Czechia, the Baltics, Korea, Taiwan</t>
  </si>
  <si>
    <t xml:space="preserve">3 – Low</t>
  </si>
  <si>
    <t xml:space="preserve">Morocco, Algeria, Tunisia, Turkey, Romania, Brazil, Mexico, Southeast Asia</t>
  </si>
  <si>
    <t xml:space="preserve">4 – Lowest</t>
  </si>
  <si>
    <t xml:space="preserve">Senegal, Côte d'Ivoire, Cameroon and French-speaking Africa, India, Egypt</t>
  </si>
  <si>
    <t xml:space="preserve">Average price paid (index)</t>
  </si>
  <si>
    <t xml:space="preserve">The rule: in every tier, even a subscriber using every AI allowance to the full every day must still bring in more than they cost. The margins above are that case, in the channel that keeps least (in-app or web).</t>
  </si>
  <si>
    <t xml:space="preserve">The multiplier sets both the price and the AI allowances (new explanations, new exam papers, new texts, photos) in that tier: pay 45% of the price, get 45% of the allowances. Reviews, the dictionary and the credits are the same everywhere; they cost almost nothing.</t>
  </si>
  <si>
    <t xml:space="preserve">Pro can't go much below 45%: its 30 daily credits aren't scaled, and a user can spend them all on AI-reviewed sentences. The old tier 4 (€17.99 a year, 30%) lost money on such a user.</t>
  </si>
  <si>
    <t xml:space="preserve">Which price applies: the store account's country in-app (Apple and Google set prices per country); on the web, the country of the card (Stripe), so a VPN doesn't unlock a cheaper price.</t>
  </si>
  <si>
    <t xml:space="preserve">Outside the EU the stores add the local sales tax (e.g. India 18%). The margins use the EU rate as an approximation.</t>
  </si>
  <si>
    <t xml:space="preserve">'Unit economics' and 'Projection' use the average indexes, so revenue already reflects regional prices. The shares of payers must add up to 100%.</t>
  </si>
  <si>
    <t xml:space="preserve">AI worst case: a subscriber who uses every allowance to the full, every day</t>
  </si>
  <si>
    <t xml:space="preserve">Allowances are per month at the full price (tier 1) · cheaper tiers scale them by their multiplier (Pricing) · only this sheet decides whether a price can lose money.</t>
  </si>
  <si>
    <t xml:space="preserve">Model prices (Gemini 3.1 Flash-Lite, the primary)</t>
  </si>
  <si>
    <t xml:space="preserve">Input price</t>
  </si>
  <si>
    <t xml:space="preserve">$ per 1M tokens</t>
  </si>
  <si>
    <t xml:space="preserve">docs/llm-commercial-plan.md. No batch discount in the worst case.</t>
  </si>
  <si>
    <t xml:space="preserve">Output price</t>
  </si>
  <si>
    <t xml:space="preserve">Share of input served from the provider's cache</t>
  </si>
  <si>
    <t xml:space="preserve">Cached input billed at</t>
  </si>
  <si>
    <t xml:space="preserve">of the full price</t>
  </si>
  <si>
    <t xml:space="preserve">Pro credits per month</t>
  </si>
  <si>
    <t xml:space="preserve">credits</t>
  </si>
  <si>
    <t xml:space="preserve">30 a day. The welcome bonus is paid once, so it's left out.</t>
  </si>
  <si>
    <t xml:space="preserve">Minimum margin per subscriber per month, worst case</t>
  </si>
  <si>
    <t xml:space="preserve">€</t>
  </si>
  <si>
    <t xml:space="preserve">0 = break even; a little above leaves room for error.</t>
  </si>
  <si>
    <t xml:space="preserve">Feature (one unit)</t>
  </si>
  <si>
    <t xml:space="preserve">Calls per unit</t>
  </si>
  <si>
    <t xml:space="preserve">Input tokens per call</t>
  </si>
  <si>
    <t xml:space="preserve">Output tokens per call</t>
  </si>
  <si>
    <t xml:space="preserve">Cost per unit ($)</t>
  </si>
  <si>
    <t xml:space="preserve">Costs a Pro credit?</t>
  </si>
  <si>
    <t xml:space="preserve">Pro allowance / month</t>
  </si>
  <si>
    <t xml:space="preserve">Max allowance / month</t>
  </si>
  <si>
    <t xml:space="preserve">Pro ($/month)</t>
  </si>
  <si>
    <t xml:space="preserve">Max ($/month)</t>
  </si>
  <si>
    <t xml:space="preserve">Allowance, and what the code does today</t>
  </si>
  <si>
    <t xml:space="preserve">New mock-exam paper generated</t>
  </si>
  <si>
    <t xml:space="preserve">Yes</t>
  </si>
  <si>
    <t xml:space="preserve">Pro 4 / Max 8 new papers a month. Papers already in the pool stay unlimited (1 credit each on Pro). TODAY: NO LIMIT.</t>
  </si>
  <si>
    <t xml:space="preserve">New comprehension text generated</t>
  </si>
  <si>
    <t xml:space="preserve">5 a day (1.3 attempts each). Texts from the pool are free. TODAY: 10 a day (COMPREHENSION_DAILY_LIMIT).</t>
  </si>
  <si>
    <t xml:space="preserve">Composition review (one sentence)</t>
  </si>
  <si>
    <t xml:space="preserve">Max 30 a day, as today (COMPOSITION_DAILY_LIMIT). Pro: every credit left after papers and texts, spent here, the dearest per credit.</t>
  </si>
  <si>
    <t xml:space="preserve">Translation review (one sentence)</t>
  </si>
  <si>
    <t xml:space="preserve">Max 40 a day. Pro: 0 here, as its credits are counted on composition. TODAY: NO LIMIT.</t>
  </si>
  <si>
    <t xml:space="preserve">Chatbot question</t>
  </si>
  <si>
    <t xml:space="preserve">Max 40 a day, as today (ASK_DAILY_LIMIT). Pro: counted on composition.</t>
  </si>
  <si>
    <t xml:space="preserve">Explain (a sentence not already in the cache)</t>
  </si>
  <si>
    <t xml:space="preserve">No</t>
  </si>
  <si>
    <t xml:space="preserve">Free, but Pro 15 / Max 30 new explanations a day; ones already in the cache stay unlimited. TODAY: NO LIMIT.</t>
  </si>
  <si>
    <t xml:space="preserve">Photo reading (OCR)</t>
  </si>
  <si>
    <t xml:space="preserve">Pro 10 / Max 20 a day. TODAY: 20 a day for everyone (OCR_DAILY_LIMIT).</t>
  </si>
  <si>
    <t xml:space="preserve">Worst case per month, full price ($)</t>
  </si>
  <si>
    <t xml:space="preserve">… in €, with the non-deductible VAT on services bought abroad</t>
  </si>
  <si>
    <t xml:space="preserve">By regional tier (allowances scaled by the tier's multiplier)</t>
  </si>
  <si>
    <t xml:space="preserve">Pro multiplier</t>
  </si>
  <si>
    <t xml:space="preserve">Max multiplier</t>
  </si>
  <si>
    <t xml:space="preserve">Pro worst case ($/mo)</t>
  </si>
  <si>
    <t xml:space="preserve">Max worst case ($/mo)</t>
  </si>
  <si>
    <t xml:space="preserve">Pro worst case (€/mo)</t>
  </si>
  <si>
    <t xml:space="preserve">Max worst case (€/mo)</t>
  </si>
  <si>
    <t xml:space="preserve">Expected use is far below this (Assumptions: ≈ $0.27 Pro, $0.44 Max). This sheet is a floor for prices, not a forecast.</t>
  </si>
  <si>
    <t xml:space="preserve">One-off costs to start</t>
  </si>
  <si>
    <t xml:space="preserve">Include = Y counts in the totals · amounts in the currency named · the € columns are calculated, adding the non-deductible VAT on services bought abroad (Assumptions).</t>
  </si>
  <si>
    <t xml:space="preserve">Item</t>
  </si>
  <si>
    <t xml:space="preserve">Category</t>
  </si>
  <si>
    <t xml:space="preserve">Include (Y/N)</t>
  </si>
  <si>
    <t xml:space="preserve">Currency</t>
  </si>
  <si>
    <t xml:space="preserve">Low</t>
  </si>
  <si>
    <t xml:space="preserve">Expected</t>
  </si>
  <si>
    <t xml:space="preserve">High</t>
  </si>
  <si>
    <t xml:space="preserve">Low (€)</t>
  </si>
  <si>
    <t xml:space="preserve">Expected (€)</t>
  </si>
  <si>
    <t xml:space="preserve">High (€)</t>
  </si>
  <si>
    <t xml:space="preserve">Note / source</t>
  </si>
  <si>
    <t xml:space="preserve">Registration in the BCE (enterprise number) via a guichet d'entreprises</t>
  </si>
  <si>
    <t xml:space="preserve">Legal &amp; admin</t>
  </si>
  <si>
    <t xml:space="preserve">EUR</t>
  </si>
  <si>
    <t xml:space="preserve">2026 official fee, the same at every guichet. VAT activation through the guichet is included. Ask for the small-business VAT exemption (franchise) at the same time.</t>
  </si>
  <si>
    <t xml:space="preserve">Student self-employed status (étudiant-indépendant)</t>
  </si>
  <si>
    <t xml:space="preserve">Free: request it from your social insurance fund, with proof of enrolment every academic year (18–25 years old, at least 27 credits).</t>
  </si>
  <si>
    <t xml:space="preserve">VAT number activation</t>
  </si>
  <si>
    <t xml:space="preserve">Included in the BCE fee. Under the exemption you file no periodic VAT returns, only the special return for services bought abroad.</t>
  </si>
  <si>
    <t xml:space="preserve">Joining a social insurance fund (caisse d'assurances sociales)</t>
  </si>
  <si>
    <t xml:space="preserve">Free to join. The contributions are in 'Assumptions' and 'Projection'.</t>
  </si>
  <si>
    <t xml:space="preserve">Setting up a company (SRL) instead of working in your own name</t>
  </si>
  <si>
    <t xml:space="preserve">N</t>
  </si>
  <si>
    <t xml:space="preserve">Not compatible with the student self-employed status as a sole trader. Only for later, once profit passes the student limit.</t>
  </si>
  <si>
    <t xml:space="preserve">Benelux trademark 'Tsuji' (BOIP), classes 9 (software) + 41 (education)</t>
  </si>
  <si>
    <t xml:space="preserve">BOIP: €244 for the first class, €27 for each extra class. Valid 10 years. Check the fee on boip.int before filing.</t>
  </si>
  <si>
    <t xml:space="preserve">EU trademark (EUIPO), classes 9 + 41</t>
  </si>
  <si>
    <t xml:space="preserve">€850 + €50 for the second class. Covers the whole EU instead of Benelux only.</t>
  </si>
  <si>
    <t xml:space="preserve">Trademark clearance search / IP attorney</t>
  </si>
  <si>
    <t xml:space="preserve">'Tsuji' is a common Japanese surname. Check nobody already holds it in classes 9/41.</t>
  </si>
  <si>
    <t xml:space="preserve">Legal texts: terms of use, terms of sale, subscription and withdrawal terms</t>
  </si>
  <si>
    <t xml:space="preserve">EU consumer law: the 14-day withdrawal right, auto-renewal terms. public/privacy.html already exists.</t>
  </si>
  <si>
    <t xml:space="preserve">Accountant onboarding</t>
  </si>
  <si>
    <t xml:space="preserve">Some offices charge a set-up fee.</t>
  </si>
  <si>
    <t xml:space="preserve">Google Play developer registration</t>
  </si>
  <si>
    <t xml:space="preserve">Stores &amp; tech</t>
  </si>
  <si>
    <t xml:space="preserve">USD</t>
  </si>
  <si>
    <t xml:space="preserve">Paid once. (The Apple fee is yearly, so it is in 'Fixed costs'.)</t>
  </si>
  <si>
    <t xml:space="preserve">Mac for building and uploading the iOS app</t>
  </si>
  <si>
    <t xml:space="preserve">Only if you don't own one. Cloud macOS build services are the alternative.</t>
  </si>
  <si>
    <t xml:space="preserve">Test devices (a used iPhone and Android phone)</t>
  </si>
  <si>
    <t xml:space="preserve">First fill of the LLM pools (exam papers, comprehension, phrase cache)</t>
  </si>
  <si>
    <t xml:space="preserve">10 papers for each of the 15 exam ids ≈ $17 (≈ $0.11 a paper), comprehension pool ≈ $2, phrase cache ≈ $0.20. A deep paper pool means the new-paper allowance is almost never reached.</t>
  </si>
  <si>
    <t xml:space="preserve">Payment integration (Stripe / RevenueCat)</t>
  </si>
  <si>
    <t xml:space="preserve">No set-up fee. The work is development time (HAS_STORE is still false).</t>
  </si>
  <si>
    <t xml:space="preserve">Voice licences (VOICEVOX Nemo, kana voice)</t>
  </si>
  <si>
    <t xml:space="preserve">Free, but you must credit 'VOICEVOX Nemo' (already done), and generated audio must never be used for machine learning.</t>
  </si>
  <si>
    <t xml:space="preserve">Launch marketing (ads, store screenshots, video)</t>
  </si>
  <si>
    <t xml:space="preserve">Marketing</t>
  </si>
  <si>
    <t xml:space="preserve">Optional. The landing page and its footage are self-made.</t>
  </si>
  <si>
    <t xml:space="preserve">Total – included items (Y)</t>
  </si>
  <si>
    <t xml:space="preserve">Total – every item, including optional</t>
  </si>
  <si>
    <t xml:space="preserve">Recurring fixed costs, by stage</t>
  </si>
  <si>
    <t xml:space="preserve">Amounts as billed (currency and period named) · € per month is calculated, adding the non-deductible VAT on services bought abroad · Include = Y counts in the totals.</t>
  </si>
  <si>
    <t xml:space="preserve">Billed per</t>
  </si>
  <si>
    <t xml:space="preserve">Launch</t>
  </si>
  <si>
    <t xml:space="preserve">Growth</t>
  </si>
  <si>
    <t xml:space="preserve">Scale</t>
  </si>
  <si>
    <t xml:space="preserve">Launch (€/mo)</t>
  </si>
  <si>
    <t xml:space="preserve">Growth (€/mo)</t>
  </si>
  <si>
    <t xml:space="preserve">Scale (€/mo)</t>
  </si>
  <si>
    <t xml:space="preserve">Render – backend (FastAPI web service)</t>
  </si>
  <si>
    <t xml:space="preserve">Hosting</t>
  </si>
  <si>
    <t xml:space="preserve">month</t>
  </si>
  <si>
    <t xml:space="preserve">render.yaml: plan 'starter' (512 MB, 0.5 CPU). Standard $25 (2 GB, 1 CPU), Pro $85 (4 GB, 2 CPU).</t>
  </si>
  <si>
    <t xml:space="preserve">Render – persistent disk (exam and dictation audio)</t>
  </si>
  <si>
    <t xml:space="preserve">$0.25 per GB per month. render.yaml: 1 GB → 5 GB → 20 GB.</t>
  </si>
  <si>
    <t xml:space="preserve">Render – VOICEVOX Nemo voice engine (private service)</t>
  </si>
  <si>
    <t xml:space="preserve">ADR 0019: Starter holds it (343 MB) but slowly; Standard halves the first-play wait.</t>
  </si>
  <si>
    <t xml:space="preserve">Render – workspace plan</t>
  </si>
  <si>
    <t xml:space="preserve">Hobby is free. Professional ($19 per member) for autoscaling and a second instance.</t>
  </si>
  <si>
    <t xml:space="preserve">Vercel – frontend and /api proxy</t>
  </si>
  <si>
    <t xml:space="preserve">The free Hobby plan is non-commercial only. A paid app needs Pro ($20 per member; 1 TB of traffic included).</t>
  </si>
  <si>
    <t xml:space="preserve">Supabase – Postgres database + authentication</t>
  </si>
  <si>
    <t xml:space="preserve">The free plan pauses after 7 idle days and has no backups. Pro $25 includes 100k MAU, 8 GB of disk and Micro compute; Small compute +$5, Medium +$50.</t>
  </si>
  <si>
    <t xml:space="preserve">Transactional e-mail for auth (sign-up confirmation, password reset)</t>
  </si>
  <si>
    <t xml:space="preserve">Supabase's built-in mail is for testing only (a few mails an hour). E.g. Resend: free for 3,000 a month (100 a day), $20 for 50,000.</t>
  </si>
  <si>
    <t xml:space="preserve">Error tracking and uptime monitoring</t>
  </si>
  <si>
    <t xml:space="preserve">Free plans are enough early. Sentry Team $26.</t>
  </si>
  <si>
    <t xml:space="preserve">LLM – offline jobs (refilling the comprehension pool, new exam papers)</t>
  </si>
  <si>
    <t xml:space="preserve">AI</t>
  </si>
  <si>
    <t xml:space="preserve">Not tied to any one user. §5.4: a full prewarm ≈ $4. Per-user LLM spend is in 'Unit economics'.</t>
  </si>
  <si>
    <t xml:space="preserve">Rotating residential proxy (fetching YouTube subtitles)</t>
  </si>
  <si>
    <t xml:space="preserve">Only if you switch the YouTube-link feature on (it is off today). Webshare Rotating Residential $3.50 per GB, ≈ 2,500 analyses per GB.</t>
  </si>
  <si>
    <t xml:space="preserve">Domain name (e.g. tsuji.app)</t>
  </si>
  <si>
    <t xml:space="preserve">Web</t>
  </si>
  <si>
    <t xml:space="preserve">year</t>
  </si>
  <si>
    <t xml:space="preserve">The app still runs on japanese-learner-seven.vercel.app. A .app domain costs ≈ $14–20 a year.</t>
  </si>
  <si>
    <t xml:space="preserve">Contact mailbox (contact@…)</t>
  </si>
  <si>
    <t xml:space="preserve">Free forwarding at first (e.g. Cloudflare Email Routing), then a real mailbox.</t>
  </si>
  <si>
    <t xml:space="preserve">Apple Developer Program</t>
  </si>
  <si>
    <t xml:space="preserve">Stores</t>
  </si>
  <si>
    <t xml:space="preserve">Needed to publish on the App Store and TestFlight.</t>
  </si>
  <si>
    <t xml:space="preserve">Accountant (fiduciaire)</t>
  </si>
  <si>
    <t xml:space="preserve">Business</t>
  </si>
  <si>
    <t xml:space="preserve">Launch: exempt from VAT, so only the annual accounts, the income tax return and the special return for services bought abroad. Growth/Scale: normal VAT registration, OSS and quarterly returns.</t>
  </si>
  <si>
    <t xml:space="preserve">Business bank account</t>
  </si>
  <si>
    <t xml:space="preserve">A self-employed person in Belgium must keep a separate professional account.</t>
  </si>
  <si>
    <t xml:space="preserve">Professional liability / cyber insurance</t>
  </si>
  <si>
    <t xml:space="preserve">Optional, but worth it once you hold paying users' data.</t>
  </si>
  <si>
    <t xml:space="preserve">Development tools (AI coding subscription, etc.)</t>
  </si>
  <si>
    <t xml:space="preserve">PLACEHOLDER: enter what you actually pay.</t>
  </si>
  <si>
    <t xml:space="preserve">Paid acquisition / ads</t>
  </si>
  <si>
    <t xml:space="preserve">Optional. Set it once you know your cost per install.</t>
  </si>
  <si>
    <t xml:space="preserve">Total per month – included items (Y)</t>
  </si>
  <si>
    <t xml:space="preserve">Total per year – included items (Y)</t>
  </si>
  <si>
    <t xml:space="preserve">Total per month – every item, including optional</t>
  </si>
  <si>
    <t xml:space="preserve">Stages: Launch below the Growth threshold, Growth from it, Scale from the Scale threshold (see Assumptions).</t>
  </si>
  <si>
    <t xml:space="preserve">Unit economics: what one subscriber brings in and costs, per month</t>
  </si>
  <si>
    <t xml:space="preserve">Prices are averaged over the regional tiers (Pricing) · annual plans are spread over 12 months · in-app and web sales are blended by the channel mix · VAT shown as if charged on the web too (the exemption is added back in 'Projection').</t>
  </si>
  <si>
    <t xml:space="preserve">Average price paid incl. VAT (€)</t>
  </si>
  <si>
    <t xml:space="preserve">Months covered</t>
  </si>
  <si>
    <t xml:space="preserve">Charges per month</t>
  </si>
  <si>
    <t xml:space="preserve">Gross per month (€)</t>
  </si>
  <si>
    <t xml:space="preserve">VAT (€)</t>
  </si>
  <si>
    <t xml:space="preserve">Net of VAT (€)</t>
  </si>
  <si>
    <t xml:space="preserve">Store commission if sold in-app (€)</t>
  </si>
  <si>
    <t xml:space="preserve">Stripe fees if sold on web (€)</t>
  </si>
  <si>
    <t xml:space="preserve">Payment cost, blended (€)</t>
  </si>
  <si>
    <t xml:space="preserve">Net revenue (€)</t>
  </si>
  <si>
    <t xml:space="preserve">LLM, expected (€)</t>
  </si>
  <si>
    <t xml:space="preserve">Infrastructure (€)</t>
  </si>
  <si>
    <t xml:space="preserve">Contribution margin (€)</t>
  </si>
  <si>
    <t xml:space="preserve">Margin % of gross</t>
  </si>
  <si>
    <t xml:space="preserve">LLM, worst case (€)</t>
  </si>
  <si>
    <t xml:space="preserve">Margin, worst case (€)</t>
  </si>
  <si>
    <t xml:space="preserve">Discount vs monthly</t>
  </si>
  <si>
    <t xml:space="preserve">Blended by each plan's annual share (Assumptions)</t>
  </si>
  <si>
    <t xml:space="preserve">Blended</t>
  </si>
  <si>
    <t xml:space="preserve">All payers</t>
  </si>
  <si>
    <t xml:space="preserve">Where Pro annual is bought: what you keep (average regional price)</t>
  </si>
  <si>
    <t xml:space="preserve">Channel</t>
  </si>
  <si>
    <t xml:space="preserve">Price (€/yr)</t>
  </si>
  <si>
    <t xml:space="preserve">Commission / fees (€)</t>
  </si>
  <si>
    <t xml:space="preserve">You keep (€/yr)</t>
  </si>
  <si>
    <t xml:space="preserve">Share kept</t>
  </si>
  <si>
    <t xml:space="preserve">In-app (store)</t>
  </si>
  <si>
    <t xml:space="preserve">Web, VAT registered</t>
  </si>
  <si>
    <t xml:space="preserve">Web, VAT-exempt (franchise)</t>
  </si>
  <si>
    <t xml:space="preserve">Break-even (the result before social contributions and income tax)</t>
  </si>
  <si>
    <t xml:space="preserve">Stage</t>
  </si>
  <si>
    <t xml:space="preserve">Fixed costs (€/mo)</t>
  </si>
  <si>
    <t xml:space="preserve">Active users needed</t>
  </si>
  <si>
    <t xml:space="preserve">Conservative: counts VAT on web sales. While the VAT exemption applies you keep more, so break-even comes sooner (see 'Projection').</t>
  </si>
  <si>
    <t xml:space="preserve">What a free user costs per month (€)</t>
  </si>
  <si>
    <t xml:space="preserve">Cost and result by number of active users (steady month)</t>
  </si>
  <si>
    <t xml:space="preserve">Row 5 is an input: change the active-user figures · every other row is calculated.</t>
  </si>
  <si>
    <t xml:space="preserve">Per month</t>
  </si>
  <si>
    <t xml:space="preserve">Scenario 1</t>
  </si>
  <si>
    <t xml:space="preserve">Scenario 2</t>
  </si>
  <si>
    <t xml:space="preserve">Scenario 3</t>
  </si>
  <si>
    <t xml:space="preserve">Scenario 4</t>
  </si>
  <si>
    <t xml:space="preserve">Scenario 5</t>
  </si>
  <si>
    <t xml:space="preserve">Scenario 6</t>
  </si>
  <si>
    <t xml:space="preserve">Scenario 7</t>
  </si>
  <si>
    <t xml:space="preserve">Scenario 8</t>
  </si>
  <si>
    <t xml:space="preserve">Monthly active users (MAU)</t>
  </si>
  <si>
    <t xml:space="preserve">Stage (1 Launch · 2 Growth · 3 Scale)</t>
  </si>
  <si>
    <t xml:space="preserve">Free users</t>
  </si>
  <si>
    <t xml:space="preserve">Pro subscribers</t>
  </si>
  <si>
    <t xml:space="preserve">Max subscribers</t>
  </si>
  <si>
    <t xml:space="preserve">Paying users, total</t>
  </si>
  <si>
    <t xml:space="preserve">REVENUE</t>
  </si>
  <si>
    <t xml:space="preserve">Gross billings incl. VAT</t>
  </si>
  <si>
    <t xml:space="preserve">− VAT (paid to the state, or kept by the store)</t>
  </si>
  <si>
    <t xml:space="preserve">+ VAT not charged on web sales (exemption)</t>
  </si>
  <si>
    <t xml:space="preserve">− Store commission and payment fees</t>
  </si>
  <si>
    <t xml:space="preserve">Net revenue</t>
  </si>
  <si>
    <t xml:space="preserve">VAT EXEMPTION CHECK</t>
  </si>
  <si>
    <t xml:space="preserve">Turnover per year (excl. VAT)</t>
  </si>
  <si>
    <t xml:space="preserve">Web sales to other EU countries per year</t>
  </si>
  <si>
    <t xml:space="preserve">Exemption applies? (1 = yes)</t>
  </si>
  <si>
    <t xml:space="preserve">COSTS</t>
  </si>
  <si>
    <t xml:space="preserve">LLM, expected</t>
  </si>
  <si>
    <t xml:space="preserve">Variable infrastructure</t>
  </si>
  <si>
    <t xml:space="preserve">Fixed costs (by stage)</t>
  </si>
  <si>
    <t xml:space="preserve">Total operating costs</t>
  </si>
  <si>
    <t xml:space="preserve">RESULT</t>
  </si>
  <si>
    <t xml:space="preserve">Operating result (before social contributions)</t>
  </si>
  <si>
    <t xml:space="preserve">Profit per year (basis for social contributions)</t>
  </si>
  <si>
    <t xml:space="preserve">Social contributions, student self-employed</t>
  </si>
  <si>
    <t xml:space="preserve">Result after social contributions (before income tax)</t>
  </si>
  <si>
    <t xml:space="preserve">Result over 12 months</t>
  </si>
  <si>
    <t xml:space="preserve">Still within the student status? (profit &lt; limit)</t>
  </si>
  <si>
    <t xml:space="preserve">COST PER USER</t>
  </si>
  <si>
    <t xml:space="preserve">Total cost per active user</t>
  </si>
  <si>
    <t xml:space="preserve">Total cost per paying user</t>
  </si>
  <si>
    <t xml:space="preserve">Net revenue per paying user</t>
  </si>
  <si>
    <t xml:space="preserve">Variable cost of one free user</t>
  </si>
  <si>
    <t xml:space="preserve">Operating margin (% of net revenue)</t>
  </si>
  <si>
    <t xml:space="preserve">STRESS TEST</t>
  </si>
  <si>
    <t xml:space="preserve">LLM if every payer hits the worst case</t>
  </si>
  <si>
    <t xml:space="preserve">Operating result, worst-case LLM</t>
  </si>
  <si>
    <t xml:space="preserve">Social contributions follow the 2026 student self-employed rules: nothing up to €8,687 of yearly profit, 20.5% of the part above it, and full-time rates (minimum €925.59 a quarter) from €17,374.</t>
  </si>
  <si>
    <t xml:space="preserve">Once the exemption stops applying (turnover over €25,000, or over €10,000 of web sales abroad), you must register for VAT normally: then set 'VAT you pay on services bought abroad' to 0%.</t>
  </si>
  <si>
    <t xml:space="preserve">Steady-state snapshot: churn, growth over time and trials are not modelled. Income tax is not included.</t>
  </si>
  <si>
    <t xml:space="preserve">The offer as decided, compared with the code today</t>
  </si>
  <si>
    <t xml:space="preserve">'Today in the code' = the limits currently set in the repository (backend/core/credits.py, routes/*).</t>
  </si>
  <si>
    <t xml:space="preserve">Feature</t>
  </si>
  <si>
    <t xml:space="preserve">Free</t>
  </si>
  <si>
    <t xml:space="preserve">Today in the code</t>
  </si>
  <si>
    <t xml:space="preserve">Status / what to build</t>
  </si>
  <si>
    <t xml:space="preserve">Price (tier 1)</t>
  </si>
  <si>
    <t xml:space="preserve">€0</t>
  </si>
  <si>
    <t xml:space="preserve">€8.99 / month · €59.99 / year</t>
  </si>
  <si>
    <t xml:space="preserve">€14.99 / month · €99.99 / year</t>
  </si>
  <si>
    <t xml:space="preserve">No purchase flow yet (HAS_STORE = false); credits not enforced yet (CREDITS_ENFORCE unset).</t>
  </si>
  <si>
    <t xml:space="preserve">Proposed on the 'Pricing' sheet.</t>
  </si>
  <si>
    <t xml:space="preserve">Name</t>
  </si>
  <si>
    <t xml:space="preserve">The code says 'pass'.</t>
  </si>
  <si>
    <r>
      <rPr>
        <sz val="11"/>
        <rFont val="Arial"/>
        <family val="0"/>
        <charset val="1"/>
      </rPr>
      <t xml:space="preserve">Decided: 'Unlimited' renamed. Alternatives on the rail theme: 'Green' (</t>
    </r>
    <r>
      <rPr>
        <sz val="11"/>
        <rFont val="WenQuanYi Zen Hei"/>
        <family val="2"/>
      </rPr>
      <t xml:space="preserve">グリーン車</t>
    </r>
    <r>
      <rPr>
        <sz val="11"/>
        <rFont val="Arial"/>
        <family val="0"/>
        <charset val="1"/>
      </rPr>
      <t xml:space="preserve">, JR's first class) or 'Shinkansen'.</t>
    </r>
  </si>
  <si>
    <t xml:space="preserve">Learning (kana, vocab, kanji, grammar reviews)</t>
  </si>
  <si>
    <t xml:space="preserve">Up to N3, 1 credit a review, kana free</t>
  </si>
  <si>
    <t xml:space="preserve">All levels, no credits</t>
  </si>
  <si>
    <t xml:space="preserve">Every level open to everyone; 1 credit a review; kana free.</t>
  </si>
  <si>
    <t xml:space="preserve">To build: the N3 limit for Free.</t>
  </si>
  <si>
    <t xml:space="preserve">Welcome bonus</t>
  </si>
  <si>
    <t xml:space="preserve">200 credits</t>
  </si>
  <si>
    <t xml:space="preserve">200 credits at sign-up for everyone.</t>
  </si>
  <si>
    <t xml:space="preserve">Decided. Pay it once per account, so upgrading doesn't pay it twice.</t>
  </si>
  <si>
    <t xml:space="preserve">Daily credits</t>
  </si>
  <si>
    <t xml:space="preserve">30 a day, max 50</t>
  </si>
  <si>
    <t xml:space="preserve">None needed</t>
  </si>
  <si>
    <t xml:space="preserve">30 a day, 1 every 48 min, max 50.</t>
  </si>
  <si>
    <t xml:space="preserve">Pro spends its credits on practice, chatbot questions and mock exams.</t>
  </si>
  <si>
    <t xml:space="preserve">Practice (reading, translation, dictation, comprehension, composition)</t>
  </si>
  <si>
    <t xml:space="preserve">1 credit a play</t>
  </si>
  <si>
    <t xml:space="preserve">Included</t>
  </si>
  <si>
    <t xml:space="preserve">Pass only; practice never spends credits.</t>
  </si>
  <si>
    <t xml:space="preserve">To build: 1 credit per play for Pro. Assumed: a play is one exercise the model marks or writes (one sentence reviewed, one text, one paper). If a play were a whole run, Pro's worst case would be several times higher.</t>
  </si>
  <si>
    <t xml:space="preserve">Mock exam</t>
  </si>
  <si>
    <t xml:space="preserve">1 credit; 4 new papers generated a month</t>
  </si>
  <si>
    <t xml:space="preserve">Included; 8 new papers a month</t>
  </si>
  <si>
    <t xml:space="preserve">Pass only; no limit on generating new papers (≈ $0.11 each).</t>
  </si>
  <si>
    <t xml:space="preserve">Decided: 1 credit. Papers already in the pool stay unlimited; only generating a new one is capped. To build: that cap, and filling the pool before launch.</t>
  </si>
  <si>
    <t xml:space="preserve">Explain button</t>
  </si>
  <si>
    <t xml:space="preserve">Free; 15 new explanations a day</t>
  </si>
  <si>
    <t xml:space="preserve">Free; 30 new a day</t>
  </si>
  <si>
    <t xml:space="preserve">Pass only; no limit.</t>
  </si>
  <si>
    <t xml:space="preserve">Decided: free. Explanations already in the cache stay unlimited; only new ones count. To build: that daily limit.</t>
  </si>
  <si>
    <r>
      <rPr>
        <b val="true"/>
        <sz val="11"/>
        <rFont val="Arial"/>
        <family val="0"/>
        <charset val="1"/>
      </rPr>
      <t xml:space="preserve">Chatbot (</t>
    </r>
    <r>
      <rPr>
        <b val="true"/>
        <sz val="11"/>
        <rFont val="WenQuanYi Zen Hei"/>
        <family val="2"/>
      </rPr>
      <t xml:space="preserve">問</t>
    </r>
    <r>
      <rPr>
        <b val="true"/>
        <sz val="11"/>
        <rFont val="Arial"/>
        <family val="0"/>
        <charset val="1"/>
      </rPr>
      <t xml:space="preserve">, questions after a graded exercise)</t>
    </r>
  </si>
  <si>
    <t xml:space="preserve">1 credit a question</t>
  </si>
  <si>
    <t xml:space="preserve">Included (40 a day)</t>
  </si>
  <si>
    <t xml:space="preserve">Pass only, 40 a day (ASK_DAILY_LIMIT).</t>
  </si>
  <si>
    <t xml:space="preserve">To build: charge 1 credit per question for Pro.</t>
  </si>
  <si>
    <t xml:space="preserve">Analyser (text, photo, video)</t>
  </si>
  <si>
    <t xml:space="preserve">Yes, 30 in history, 10 photos a day</t>
  </si>
  <si>
    <t xml:space="preserve">Yes, e.g. 100 in history, 20 photos a day</t>
  </si>
  <si>
    <t xml:space="preserve">Pass only; history 30 and 20 photos a day for everyone.</t>
  </si>
  <si>
    <t xml:space="preserve">Pick Max's history number. To build: Pro's 10 photos a day.</t>
  </si>
  <si>
    <t xml:space="preserve">Decks</t>
  </si>
  <si>
    <t xml:space="preserve">10 decks × 200 cards</t>
  </si>
  <si>
    <t xml:space="preserve">30 decks × 400 cards</t>
  </si>
  <si>
    <t xml:space="preserve">e.g. 100 × 10,000</t>
  </si>
  <si>
    <t xml:space="preserve">Free 7 / 200; pass 100 / 10,000.</t>
  </si>
  <si>
    <t xml:space="preserve">Max figure proposed = today's pass limits.</t>
  </si>
  <si>
    <t xml:space="preserve">Dictionary favourites</t>
  </si>
  <si>
    <t xml:space="preserve">30</t>
  </si>
  <si>
    <t xml:space="preserve">100</t>
  </si>
  <si>
    <t xml:space="preserve">e.g. 500</t>
  </si>
  <si>
    <t xml:space="preserve">500 for everyone (MAX_FAVORITES).</t>
  </si>
  <si>
    <t xml:space="preserve">Max figure proposed = today's limit.</t>
  </si>
  <si>
    <t xml:space="preserve">Deck library (publish / follow)</t>
  </si>
  <si>
    <t xml:space="preserve">Open to everyone.</t>
  </si>
  <si>
    <t xml:space="preserve">Decided: everyone.</t>
  </si>
  <si>
    <t xml:space="preserve">Downgrade</t>
  </si>
  <si>
    <t xml:space="preserve">30-day grace period to export and delete over-limit decks; then favourites over the limit are removed, most recently added first</t>
  </si>
  <si>
    <t xml:space="preserve">Same, down to Pro's limits</t>
  </si>
  <si>
    <t xml:space="preserve">Deck CSV export exists (GET /api/decks/{id}/export), plus the full progress export.</t>
  </si>
  <si>
    <t xml:space="preserve">Decided. Cards already started can still be reviewed, at 1 credit a review once on Free: no free reviews after leaving Pro. To build: the grace period and its reminders.</t>
  </si>
  <si>
    <t xml:space="preserve">Credit packs</t>
  </si>
  <si>
    <t xml:space="preserve">Later</t>
  </si>
  <si>
    <t xml:space="preserve">Not in the code.</t>
  </si>
  <si>
    <t xml:space="preserve">Decided: yes, but not at launch.</t>
  </si>
  <si>
    <t xml:space="preserve">Regional prices</t>
  </si>
  <si>
    <t xml:space="preserve">4 tiers, 45% to 100%</t>
  </si>
  <si>
    <t xml:space="preserve">Decided. In each tier the AI allowances scale with the price, so no tier loses money ('Pricing', 'AI worst case').</t>
  </si>
  <si>
    <t xml:space="preserve">AI allowances (fair use)</t>
  </si>
  <si>
    <t xml:space="preserve">Credits + the limits above; 5 new texts a day</t>
  </si>
  <si>
    <t xml:space="preserve">Per day: 5 new texts, 30 composition, 40 translation, 40 questions, 30 Explain, 20 photos; 8 new papers a month</t>
  </si>
  <si>
    <t xml:space="preserve">Photos 20, new texts 10, composition 30, questions 40; translation, Explain and new papers not capped.</t>
  </si>
  <si>
    <t xml:space="preserve">Publish them as Max's fair-use policy. They are what keep every subscriber profitable ('AI worst case').</t>
  </si>
  <si>
    <t xml:space="preserve">Still to do or check</t>
  </si>
  <si>
    <t xml:space="preserve">Legal texts: the 14-day withdrawal right (waived when the user starts using the content, with their consent), renewal reminders for annual plans, a one-click way to cancel, and the 30-day grace period written into the terms.</t>
  </si>
  <si>
    <t xml:space="preserve">Grace-period reminders: when the 30 days start, 7 days before the end, and the day before.</t>
  </si>
  <si>
    <t xml:space="preserve">Build the missing AI limits before charging: new Explain calls a day, new exam papers a month, translation reviews a day (none is capped today), plus comprehension down to 5 a day, Pro photos down to 10, and every allowance scaled by the regional tier.</t>
  </si>
  <si>
    <t xml:space="preserve">Regional tiers: check the country lists and multipliers against the store price grids, and correct the shares of payers with real data after launch.</t>
  </si>
  <si>
    <t xml:space="preserve">Credit packs (later): sizes and prices. For example 100 credits for €1.99, tiered by region like the subscriptions.</t>
  </si>
  <si>
    <t xml:space="preserve">Student status and your family: income from the activity can change whether you're still a dependent for tax, and your family allowance (allocations familiales). The rules depend on your region, so check with your fund.</t>
  </si>
  <si>
    <t xml:space="preserve">Past €17,374 of profit a year you pay full-time rates. Past €25,000 of turnover, or €10,000 of web sales abroad, you must register for VAT normally. The 'Projection' sheet flags both.</t>
  </si>
</sst>
</file>

<file path=xl/styles.xml><?xml version="1.0" encoding="utf-8"?>
<styleSheet xmlns="http://schemas.openxmlformats.org/spreadsheetml/2006/main">
  <numFmts count="13">
    <numFmt numFmtId="164" formatCode="General"/>
    <numFmt numFmtId="165" formatCode="\€#,##0.00;&quot;(€&quot;#,##0.00\);\-"/>
    <numFmt numFmtId="166" formatCode="#,##0;\(#,##0\);\-"/>
    <numFmt numFmtId="167" formatCode="\€#,##0;&quot;(€&quot;#,##0\);\-"/>
    <numFmt numFmtId="168" formatCode="0"/>
    <numFmt numFmtId="169" formatCode="@"/>
    <numFmt numFmtId="170" formatCode="0.00"/>
    <numFmt numFmtId="171" formatCode="0.0%;\(0.0%\);\-"/>
    <numFmt numFmtId="172" formatCode="\$#,##0.00;&quot;($&quot;#,##0.00\);\-"/>
    <numFmt numFmtId="173" formatCode="#,##0.0"/>
    <numFmt numFmtId="174" formatCode="\$0.0000"/>
    <numFmt numFmtId="175" formatCode="#,##0.00"/>
    <numFmt numFmtId="176" formatCode="0.000"/>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name val="Arial"/>
      <family val="0"/>
      <charset val="1"/>
    </font>
    <font>
      <sz val="11"/>
      <name val="Arial"/>
      <family val="0"/>
      <charset val="1"/>
    </font>
    <font>
      <sz val="11"/>
      <color rgb="FF008000"/>
      <name val="Arial"/>
      <family val="0"/>
      <charset val="1"/>
    </font>
    <font>
      <b val="true"/>
      <sz val="11"/>
      <color rgb="FF008000"/>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b val="true"/>
      <sz val="18"/>
      <color rgb="FF000000"/>
      <name val="Calibri"/>
      <family val="2"/>
    </font>
    <font>
      <sz val="10"/>
      <color rgb="FF000000"/>
      <name val="Calibri"/>
      <family val="2"/>
    </font>
    <font>
      <b val="true"/>
      <sz val="10"/>
      <color rgb="FF000000"/>
      <name val="Calibri"/>
      <family val="2"/>
    </font>
    <font>
      <sz val="11"/>
      <name val="WenQuanYi Zen Hei"/>
      <family val="2"/>
    </font>
    <font>
      <b val="true"/>
      <sz val="11"/>
      <name val="WenQuanYi Zen Hei"/>
      <family val="2"/>
    </font>
  </fonts>
  <fills count="6">
    <fill>
      <patternFill patternType="none"/>
    </fill>
    <fill>
      <patternFill patternType="gray125"/>
    </fill>
    <fill>
      <patternFill patternType="solid">
        <fgColor rgb="FFDCE6F1"/>
        <bgColor rgb="FFD9EAD3"/>
      </patternFill>
    </fill>
    <fill>
      <patternFill patternType="solid">
        <fgColor rgb="FF1F3A5F"/>
        <bgColor rgb="FF33333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0" fontId="11"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65" fontId="11" fillId="4"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9" fontId="11" fillId="4"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5" fontId="8" fillId="4"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1" fontId="6" fillId="5" borderId="0" xfId="0" applyFont="true" applyBorder="false" applyAlignment="false" applyProtection="false">
      <alignment horizontal="general" vertical="bottom" textRotation="0" wrapText="fals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72" fontId="6" fillId="5" borderId="0" xfId="0" applyFont="true" applyBorder="false" applyAlignment="false" applyProtection="false">
      <alignment horizontal="general" vertical="bottom" textRotation="0" wrapText="false" indent="0" shrinkToFit="false"/>
      <protection locked="true" hidden="false"/>
    </xf>
    <xf numFmtId="165" fontId="6" fillId="5"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5" fontId="11" fillId="0" borderId="0" xfId="0" applyFont="true" applyBorder="false" applyAlignment="false" applyProtection="false">
      <alignment horizontal="general" vertical="bottom" textRotation="0" wrapText="false" indent="0" shrinkToFit="false"/>
      <protection locked="true" hidden="false"/>
    </xf>
    <xf numFmtId="165" fontId="6" fillId="5" borderId="1" xfId="0" applyFont="true" applyBorder="true" applyAlignment="false" applyProtection="false">
      <alignment horizontal="general" vertical="bottom" textRotation="0" wrapText="false" indent="0" shrinkToFit="false"/>
      <protection locked="true" hidden="false"/>
    </xf>
    <xf numFmtId="175" fontId="11" fillId="4" borderId="0" xfId="0" applyFont="true" applyBorder="false" applyAlignment="false" applyProtection="false">
      <alignment horizontal="general" vertical="bottom" textRotation="0" wrapText="false" indent="0" shrinkToFit="false"/>
      <protection locked="true" hidden="false"/>
    </xf>
    <xf numFmtId="176"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2F2F2"/>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4A7EBB"/>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vs total costs (€/month)</a:t>
            </a:r>
          </a:p>
        </c:rich>
      </c:tx>
      <c:overlay val="0"/>
      <c:spPr>
        <a:noFill/>
        <a:ln w="0">
          <a:noFill/>
        </a:ln>
      </c:spPr>
    </c:title>
    <c:autoTitleDeleted val="0"/>
    <c:plotArea>
      <c:lineChart>
        <c:grouping val="standard"/>
        <c:varyColors val="0"/>
        <c:ser>
          <c:idx val="0"/>
          <c:order val="0"/>
          <c:tx>
            <c:strRef>
              <c:f>Projection!A17</c:f>
              <c:strCache>
                <c:ptCount val="1"/>
                <c:pt idx="0">
                  <c:v>Net revenue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Projection!$B$17:$I$17</c:f>
              <c:numCache>
                <c:formatCode>\€#,##0.00;"(€"#,##0.00\);\-</c:formatCode>
                <c:ptCount val="8"/>
                <c:pt idx="0">
                  <c:v>30.8464295904656</c:v>
                </c:pt>
                <c:pt idx="1">
                  <c:v>145.340177821342</c:v>
                </c:pt>
                <c:pt idx="2">
                  <c:v>286.23437057719</c:v>
                </c:pt>
                <c:pt idx="3">
                  <c:v>717.808918975722</c:v>
                </c:pt>
                <c:pt idx="4">
                  <c:v>1431.17185288595</c:v>
                </c:pt>
                <c:pt idx="5">
                  <c:v>2615.95698841653</c:v>
                </c:pt>
                <c:pt idx="6">
                  <c:v>6539.89247104132</c:v>
                </c:pt>
                <c:pt idx="7">
                  <c:v>13079.7849420826</c:v>
                </c:pt>
              </c:numCache>
            </c:numRef>
          </c:val>
          <c:smooth val="1"/>
        </c:ser>
        <c:ser>
          <c:idx val="1"/>
          <c:order val="1"/>
          <c:tx>
            <c:strRef>
              <c:f>Projection!A28</c:f>
              <c:strCache>
                <c:ptCount val="1"/>
                <c:pt idx="0">
                  <c:v>Total operating costs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Projection!$B$28:$I$28</c:f>
              <c:numCache>
                <c:formatCode>\€#,##0.00;"(€"#,##0.00\);\-</c:formatCode>
                <c:ptCount val="8"/>
                <c:pt idx="0">
                  <c:v>235.605124</c:v>
                </c:pt>
                <c:pt idx="1">
                  <c:v>246.713896</c:v>
                </c:pt>
                <c:pt idx="2">
                  <c:v>260.45438</c:v>
                </c:pt>
                <c:pt idx="3">
                  <c:v>424.896756</c:v>
                </c:pt>
                <c:pt idx="4">
                  <c:v>494.1811</c:v>
                </c:pt>
                <c:pt idx="5">
                  <c:v>633.04075</c:v>
                </c:pt>
                <c:pt idx="6">
                  <c:v>1430.87495</c:v>
                </c:pt>
                <c:pt idx="7">
                  <c:v>2125.1732</c:v>
                </c:pt>
              </c:numCache>
            </c:numRef>
          </c:val>
          <c:smooth val="1"/>
        </c:ser>
        <c:hiLowLines>
          <c:spPr>
            <a:ln w="0">
              <a:noFill/>
            </a:ln>
          </c:spPr>
        </c:hiLowLines>
        <c:marker val="0"/>
        <c:axId val="5244941"/>
        <c:axId val="35062061"/>
      </c:lineChart>
      <c:catAx>
        <c:axId val="524494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Active users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062061"/>
        <c:crosses val="autoZero"/>
        <c:auto val="1"/>
        <c:lblAlgn val="ctr"/>
        <c:lblOffset val="100"/>
        <c:noMultiLvlLbl val="0"/>
      </c:catAx>
      <c:valAx>
        <c:axId val="3506206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 month</a:t>
                </a:r>
              </a:p>
            </c:rich>
          </c:tx>
          <c:overlay val="0"/>
          <c:spPr>
            <a:noFill/>
            <a:ln w="0">
              <a:noFill/>
            </a:ln>
          </c:spPr>
        </c:title>
        <c:numFmt formatCode="\€#,##0.00;&quot;(€&quot;#,##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449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160920</xdr:rowOff>
    </xdr:from>
    <xdr:to>
      <xdr:col>3</xdr:col>
      <xdr:colOff>630000</xdr:colOff>
      <xdr:row>68</xdr:row>
      <xdr:rowOff>162000</xdr:rowOff>
    </xdr:to>
    <xdr:graphicFrame>
      <xdr:nvGraphicFramePr>
        <xdr:cNvPr id="0" name="Chart 1"/>
        <xdr:cNvGraphicFramePr/>
      </xdr:nvGraphicFramePr>
      <xdr:xfrm>
        <a:off x="0" y="99061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9" min="2" style="0" width="13"/>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6" t="n">
        <f aca="false">Assumptions!$B$10</f>
        <v>8.99</v>
      </c>
      <c r="C5" s="6" t="n">
        <f aca="false">Assumptions!$B$11</f>
        <v>59.99</v>
      </c>
    </row>
    <row r="6" customFormat="false" ht="15" hidden="false" customHeight="false" outlineLevel="0" collapsed="false">
      <c r="A6" s="5" t="s">
        <v>4</v>
      </c>
      <c r="B6" s="6" t="n">
        <f aca="false">Assumptions!$B$12</f>
        <v>14.99</v>
      </c>
      <c r="C6" s="6" t="n">
        <f aca="false">Assumptions!$B$13</f>
        <v>99.99</v>
      </c>
    </row>
    <row r="8" customFormat="false" ht="15" hidden="false" customHeight="false" outlineLevel="0" collapsed="false">
      <c r="A8" s="3" t="s">
        <v>5</v>
      </c>
      <c r="B8" s="4"/>
    </row>
    <row r="9" customFormat="false" ht="15" hidden="false" customHeight="false" outlineLevel="0" collapsed="false">
      <c r="A9" s="7" t="s">
        <v>6</v>
      </c>
      <c r="B9" s="8" t="n">
        <f aca="false">'Start-up costs'!$I$23</f>
        <v>979.327</v>
      </c>
    </row>
    <row r="10" customFormat="false" ht="15" hidden="false" customHeight="false" outlineLevel="0" collapsed="false">
      <c r="A10" s="5" t="s">
        <v>7</v>
      </c>
      <c r="B10" s="6" t="n">
        <f aca="false">'Start-up costs'!$I$24</f>
        <v>3729.327</v>
      </c>
    </row>
    <row r="12" customFormat="false" ht="15" hidden="false" customHeight="false" outlineLevel="0" collapsed="false">
      <c r="A12" s="3" t="s">
        <v>8</v>
      </c>
      <c r="B12" s="4"/>
    </row>
    <row r="13" customFormat="false" ht="15" hidden="false" customHeight="false" outlineLevel="0" collapsed="false">
      <c r="A13" s="7" t="s">
        <v>9</v>
      </c>
      <c r="B13" s="8" t="n">
        <f aca="false">'Fixed costs'!$I$24</f>
        <v>232.68245</v>
      </c>
    </row>
    <row r="14" customFormat="false" ht="15" hidden="false" customHeight="false" outlineLevel="0" collapsed="false">
      <c r="A14" s="5" t="s">
        <v>10</v>
      </c>
      <c r="B14" s="6" t="n">
        <f aca="false">'Fixed costs'!$J$24</f>
        <v>355.32145</v>
      </c>
    </row>
    <row r="15" customFormat="false" ht="15" hidden="false" customHeight="false" outlineLevel="0" collapsed="false">
      <c r="A15" s="5" t="s">
        <v>11</v>
      </c>
      <c r="B15" s="6" t="n">
        <f aca="false">'Fixed costs'!$K$24</f>
        <v>736.5767</v>
      </c>
    </row>
    <row r="16" customFormat="false" ht="15" hidden="false" customHeight="false" outlineLevel="0" collapsed="false">
      <c r="A16" s="7" t="s">
        <v>12</v>
      </c>
      <c r="B16" s="8" t="n">
        <f aca="false">'Start-up costs'!$I$23+12*'Fixed costs'!$I$24</f>
        <v>3771.5164</v>
      </c>
    </row>
    <row r="18" customFormat="false" ht="15" hidden="false" customHeight="false" outlineLevel="0" collapsed="false">
      <c r="A18" s="3" t="s">
        <v>13</v>
      </c>
      <c r="B18" s="4"/>
    </row>
    <row r="19" customFormat="false" ht="15" hidden="false" customHeight="false" outlineLevel="0" collapsed="false">
      <c r="A19" s="5" t="s">
        <v>14</v>
      </c>
      <c r="B19" s="6" t="n">
        <f aca="false">'Unit economics'!$O$11</f>
        <v>3.76217669359229</v>
      </c>
    </row>
    <row r="20" customFormat="false" ht="15" hidden="false" customHeight="false" outlineLevel="0" collapsed="false">
      <c r="A20" s="5" t="s">
        <v>15</v>
      </c>
      <c r="B20" s="6" t="n">
        <f aca="false">'Unit economics'!$O$12</f>
        <v>7.397581763</v>
      </c>
    </row>
    <row r="21" customFormat="false" ht="15" hidden="false" customHeight="false" outlineLevel="0" collapsed="false">
      <c r="A21" s="7" t="s">
        <v>16</v>
      </c>
      <c r="B21" s="8" t="n">
        <f aca="false">'Unit economics'!$O$13</f>
        <v>4.4231594334846</v>
      </c>
    </row>
    <row r="22" customFormat="false" ht="15" hidden="false" customHeight="false" outlineLevel="0" collapsed="false">
      <c r="A22" s="5" t="s">
        <v>17</v>
      </c>
      <c r="B22" s="6" t="n">
        <f aca="false">'Unit economics'!$R$13</f>
        <v>1.7006933255846</v>
      </c>
    </row>
    <row r="23" customFormat="false" ht="15" hidden="false" customHeight="false" outlineLevel="0" collapsed="false">
      <c r="A23" s="5" t="s">
        <v>18</v>
      </c>
      <c r="B23" s="6" t="n">
        <f aca="false">'Unit economics'!$C$29</f>
        <v>0.01</v>
      </c>
    </row>
    <row r="25" customFormat="false" ht="15" hidden="false" customHeight="false" outlineLevel="0" collapsed="false">
      <c r="A25" s="3" t="s">
        <v>19</v>
      </c>
      <c r="B25" s="4"/>
    </row>
    <row r="26" customFormat="false" ht="15" hidden="false" customHeight="false" outlineLevel="0" collapsed="false">
      <c r="A26" s="7" t="s">
        <v>20</v>
      </c>
      <c r="B26" s="9" t="n">
        <f aca="false">'Unit economics'!$D$23</f>
        <v>53</v>
      </c>
    </row>
    <row r="27" customFormat="false" ht="15" hidden="false" customHeight="false" outlineLevel="0" collapsed="false">
      <c r="A27" s="7" t="s">
        <v>21</v>
      </c>
      <c r="B27" s="9" t="n">
        <f aca="false">'Unit economics'!$E$23</f>
        <v>964</v>
      </c>
    </row>
    <row r="29" customFormat="false" ht="15" hidden="false" customHeight="false" outlineLevel="0" collapsed="false">
      <c r="A29" s="3" t="s">
        <v>22</v>
      </c>
      <c r="B29" s="4"/>
    </row>
    <row r="30" customFormat="false" ht="15" hidden="false" customHeight="false" outlineLevel="0" collapsed="false">
      <c r="A30" s="7" t="s">
        <v>23</v>
      </c>
      <c r="B30" s="9" t="n">
        <f aca="false">Projection!B5</f>
        <v>100</v>
      </c>
      <c r="C30" s="9" t="n">
        <f aca="false">Projection!C5</f>
        <v>500</v>
      </c>
      <c r="D30" s="9" t="n">
        <f aca="false">Projection!D5</f>
        <v>1000</v>
      </c>
      <c r="E30" s="9" t="n">
        <f aca="false">Projection!E5</f>
        <v>2500</v>
      </c>
      <c r="F30" s="9" t="n">
        <f aca="false">Projection!F5</f>
        <v>5000</v>
      </c>
      <c r="G30" s="9" t="n">
        <f aca="false">Projection!G5</f>
        <v>10000</v>
      </c>
      <c r="H30" s="9" t="n">
        <f aca="false">Projection!H5</f>
        <v>25000</v>
      </c>
      <c r="I30" s="9" t="n">
        <f aca="false">Projection!I5</f>
        <v>50000</v>
      </c>
    </row>
    <row r="31" customFormat="false" ht="15" hidden="false" customHeight="false" outlineLevel="0" collapsed="false">
      <c r="A31" s="5" t="s">
        <v>24</v>
      </c>
      <c r="B31" s="10" t="n">
        <f aca="false">Projection!B17</f>
        <v>30.8464295904656</v>
      </c>
      <c r="C31" s="10" t="n">
        <f aca="false">Projection!C17</f>
        <v>145.340177821342</v>
      </c>
      <c r="D31" s="10" t="n">
        <f aca="false">Projection!D17</f>
        <v>286.23437057719</v>
      </c>
      <c r="E31" s="10" t="n">
        <f aca="false">Projection!E17</f>
        <v>717.808918975722</v>
      </c>
      <c r="F31" s="10" t="n">
        <f aca="false">Projection!F17</f>
        <v>1431.17185288595</v>
      </c>
      <c r="G31" s="10" t="n">
        <f aca="false">Projection!G17</f>
        <v>2615.95698841653</v>
      </c>
      <c r="H31" s="10" t="n">
        <f aca="false">Projection!H17</f>
        <v>6539.89247104132</v>
      </c>
      <c r="I31" s="10" t="n">
        <f aca="false">Projection!I17</f>
        <v>13079.7849420826</v>
      </c>
    </row>
    <row r="32" customFormat="false" ht="15" hidden="false" customHeight="false" outlineLevel="0" collapsed="false">
      <c r="A32" s="5" t="s">
        <v>25</v>
      </c>
      <c r="B32" s="10" t="n">
        <f aca="false">Projection!B28</f>
        <v>235.605124</v>
      </c>
      <c r="C32" s="10" t="n">
        <f aca="false">Projection!C28</f>
        <v>246.713896</v>
      </c>
      <c r="D32" s="10" t="n">
        <f aca="false">Projection!D28</f>
        <v>260.45438</v>
      </c>
      <c r="E32" s="10" t="n">
        <f aca="false">Projection!E28</f>
        <v>424.896756</v>
      </c>
      <c r="F32" s="10" t="n">
        <f aca="false">Projection!F28</f>
        <v>494.1811</v>
      </c>
      <c r="G32" s="10" t="n">
        <f aca="false">Projection!G28</f>
        <v>633.04075</v>
      </c>
      <c r="H32" s="10" t="n">
        <f aca="false">Projection!H28</f>
        <v>1430.87495</v>
      </c>
      <c r="I32" s="10" t="n">
        <f aca="false">Projection!I28</f>
        <v>2125.1732</v>
      </c>
    </row>
    <row r="33" customFormat="false" ht="15" hidden="false" customHeight="false" outlineLevel="0" collapsed="false">
      <c r="A33" s="5" t="s">
        <v>26</v>
      </c>
      <c r="B33" s="10" t="n">
        <f aca="false">Projection!B33</f>
        <v>0</v>
      </c>
      <c r="C33" s="10" t="n">
        <f aca="false">Projection!C33</f>
        <v>0</v>
      </c>
      <c r="D33" s="10" t="n">
        <f aca="false">Projection!D33</f>
        <v>0</v>
      </c>
      <c r="E33" s="10" t="n">
        <f aca="false">Projection!E33</f>
        <v>0</v>
      </c>
      <c r="F33" s="10" t="n">
        <f aca="false">Projection!F33</f>
        <v>43.6795043416197</v>
      </c>
      <c r="G33" s="10" t="n">
        <f aca="false">Projection!G33</f>
        <v>406.497828875388</v>
      </c>
      <c r="H33" s="10" t="n">
        <f aca="false">Projection!H33</f>
        <v>1047.34859181347</v>
      </c>
      <c r="I33" s="10" t="n">
        <f aca="false">Projection!I33</f>
        <v>2245.69540712694</v>
      </c>
    </row>
    <row r="34" customFormat="false" ht="15" hidden="false" customHeight="false" outlineLevel="0" collapsed="false">
      <c r="A34" s="5" t="s">
        <v>27</v>
      </c>
      <c r="B34" s="10" t="n">
        <f aca="false">Projection!B34</f>
        <v>-204.758694409534</v>
      </c>
      <c r="C34" s="10" t="n">
        <f aca="false">Projection!C34</f>
        <v>-101.373718178658</v>
      </c>
      <c r="D34" s="10" t="n">
        <f aca="false">Projection!D34</f>
        <v>25.77999057719</v>
      </c>
      <c r="E34" s="10" t="n">
        <f aca="false">Projection!E34</f>
        <v>292.912162975722</v>
      </c>
      <c r="F34" s="10" t="n">
        <f aca="false">Projection!F34</f>
        <v>893.31124854433</v>
      </c>
      <c r="G34" s="10" t="n">
        <f aca="false">Projection!G34</f>
        <v>1576.41840954114</v>
      </c>
      <c r="H34" s="10" t="n">
        <f aca="false">Projection!H34</f>
        <v>4061.66892922785</v>
      </c>
      <c r="I34" s="10" t="n">
        <f aca="false">Projection!I34</f>
        <v>8708.9163349557</v>
      </c>
    </row>
    <row r="35" customFormat="false" ht="15" hidden="false" customHeight="false" outlineLevel="0" collapsed="false">
      <c r="A35" s="5" t="s">
        <v>28</v>
      </c>
      <c r="B35" s="11" t="n">
        <f aca="false">Projection!B22</f>
        <v>1</v>
      </c>
      <c r="C35" s="11" t="n">
        <f aca="false">Projection!C22</f>
        <v>1</v>
      </c>
      <c r="D35" s="11" t="n">
        <f aca="false">Projection!D22</f>
        <v>1</v>
      </c>
      <c r="E35" s="11" t="n">
        <f aca="false">Projection!E22</f>
        <v>1</v>
      </c>
      <c r="F35" s="11" t="n">
        <f aca="false">Projection!F22</f>
        <v>1</v>
      </c>
      <c r="G35" s="11" t="n">
        <f aca="false">Projection!G22</f>
        <v>0</v>
      </c>
      <c r="H35" s="11" t="n">
        <f aca="false">Projection!H22</f>
        <v>0</v>
      </c>
      <c r="I35" s="11" t="n">
        <f aca="false">Projection!I22</f>
        <v>0</v>
      </c>
    </row>
    <row r="36" customFormat="false" ht="15" hidden="false" customHeight="false" outlineLevel="0" collapsed="false">
      <c r="A36" s="5" t="s">
        <v>29</v>
      </c>
      <c r="B36" s="12" t="str">
        <f aca="false">Projection!B36</f>
        <v>yes</v>
      </c>
      <c r="C36" s="12" t="str">
        <f aca="false">Projection!C36</f>
        <v>yes</v>
      </c>
      <c r="D36" s="12" t="str">
        <f aca="false">Projection!D36</f>
        <v>yes</v>
      </c>
      <c r="E36" s="12" t="str">
        <f aca="false">Projection!E36</f>
        <v>yes</v>
      </c>
      <c r="F36" s="12" t="str">
        <f aca="false">Projection!F36</f>
        <v>yes</v>
      </c>
      <c r="G36" s="12" t="str">
        <f aca="false">Projection!G36</f>
        <v>no: full-time rates</v>
      </c>
      <c r="H36" s="12" t="str">
        <f aca="false">Projection!H36</f>
        <v>no: full-time rates</v>
      </c>
      <c r="I36" s="12" t="str">
        <f aca="false">Projection!I36</f>
        <v>no: full-time rates</v>
      </c>
    </row>
    <row r="37" customFormat="false" ht="15" hidden="false" customHeight="false" outlineLevel="0" collapsed="false">
      <c r="A37" s="5" t="s">
        <v>30</v>
      </c>
      <c r="B37" s="6" t="n">
        <f aca="false">Projection!B39</f>
        <v>2.35605124</v>
      </c>
      <c r="C37" s="6" t="n">
        <f aca="false">Projection!C39</f>
        <v>0.493427792</v>
      </c>
      <c r="D37" s="6" t="n">
        <f aca="false">Projection!D39</f>
        <v>0.26045438</v>
      </c>
      <c r="E37" s="6" t="n">
        <f aca="false">Projection!E39</f>
        <v>0.1699587024</v>
      </c>
      <c r="F37" s="6" t="n">
        <f aca="false">Projection!F39</f>
        <v>0.09883622</v>
      </c>
      <c r="G37" s="6" t="n">
        <f aca="false">Projection!G39</f>
        <v>0.063304075</v>
      </c>
      <c r="H37" s="6" t="n">
        <f aca="false">Projection!H39</f>
        <v>0.057234998</v>
      </c>
      <c r="I37" s="6" t="n">
        <f aca="false">Projection!I39</f>
        <v>0.042503464</v>
      </c>
    </row>
    <row r="38" customFormat="false" ht="15" hidden="false" customHeight="false" outlineLevel="0" collapsed="false">
      <c r="A38" s="5" t="s">
        <v>31</v>
      </c>
      <c r="B38" s="6" t="n">
        <f aca="false">Projection!B40</f>
        <v>39.2675206666667</v>
      </c>
      <c r="C38" s="6" t="n">
        <f aca="false">Projection!C40</f>
        <v>8.81121057142857</v>
      </c>
      <c r="D38" s="6" t="n">
        <f aca="false">Projection!D40</f>
        <v>4.73553418181818</v>
      </c>
      <c r="E38" s="6" t="n">
        <f aca="false">Projection!E40</f>
        <v>3.078962</v>
      </c>
      <c r="F38" s="6" t="n">
        <f aca="false">Projection!F40</f>
        <v>1.79702218181818</v>
      </c>
      <c r="G38" s="6" t="n">
        <f aca="false">Projection!G40</f>
        <v>1.15098318181818</v>
      </c>
      <c r="H38" s="6" t="n">
        <f aca="false">Projection!H40</f>
        <v>1.04063632727273</v>
      </c>
      <c r="I38" s="6" t="n">
        <f aca="false">Projection!I40</f>
        <v>0.772790254545455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18"/>
    <col collapsed="false" customWidth="true" hidden="false" outlineLevel="0" max="4" min="4" style="0" width="110"/>
  </cols>
  <sheetData>
    <row r="1" customFormat="false" ht="17.35" hidden="false" customHeight="false" outlineLevel="0" collapsed="false">
      <c r="A1" s="1" t="s">
        <v>32</v>
      </c>
    </row>
    <row r="2" customFormat="false" ht="15" hidden="false" customHeight="false" outlineLevel="0" collapsed="false">
      <c r="A2" s="2" t="s">
        <v>33</v>
      </c>
    </row>
    <row r="4" customFormat="false" ht="15" hidden="false" customHeight="false" outlineLevel="0" collapsed="false">
      <c r="A4" s="13" t="s">
        <v>34</v>
      </c>
      <c r="B4" s="13" t="s">
        <v>35</v>
      </c>
      <c r="C4" s="13" t="s">
        <v>36</v>
      </c>
      <c r="D4" s="13" t="s">
        <v>37</v>
      </c>
    </row>
    <row r="5" customFormat="false" ht="15" hidden="false" customHeight="false" outlineLevel="0" collapsed="false">
      <c r="A5" s="3" t="s">
        <v>38</v>
      </c>
      <c r="B5" s="4"/>
      <c r="C5" s="4"/>
      <c r="D5" s="4"/>
    </row>
    <row r="6" customFormat="false" ht="15" hidden="false" customHeight="false" outlineLevel="0" collapsed="false">
      <c r="A6" s="5" t="s">
        <v>39</v>
      </c>
      <c r="B6" s="14" t="n">
        <v>0.86</v>
      </c>
      <c r="C6" s="5" t="s">
        <v>40</v>
      </c>
      <c r="D6" s="15" t="s">
        <v>41</v>
      </c>
    </row>
    <row r="7" customFormat="false" ht="15" hidden="false" customHeight="false" outlineLevel="0" collapsed="false">
      <c r="A7" s="5" t="s">
        <v>42</v>
      </c>
      <c r="B7" s="16" t="n">
        <v>0.21</v>
      </c>
      <c r="C7" s="5" t="s">
        <v>43</v>
      </c>
      <c r="D7" s="15" t="s">
        <v>44</v>
      </c>
    </row>
    <row r="8" customFormat="false" ht="26.85" hidden="false" customHeight="false" outlineLevel="0" collapsed="false">
      <c r="A8" s="5" t="s">
        <v>45</v>
      </c>
      <c r="B8" s="16" t="n">
        <v>0.21</v>
      </c>
      <c r="C8" s="5" t="s">
        <v>43</v>
      </c>
      <c r="D8" s="15" t="s">
        <v>46</v>
      </c>
    </row>
    <row r="9" customFormat="false" ht="15" hidden="false" customHeight="false" outlineLevel="0" collapsed="false">
      <c r="A9" s="3" t="s">
        <v>47</v>
      </c>
      <c r="B9" s="4"/>
      <c r="C9" s="4"/>
      <c r="D9" s="4"/>
    </row>
    <row r="10" customFormat="false" ht="15" hidden="false" customHeight="false" outlineLevel="0" collapsed="false">
      <c r="A10" s="5" t="s">
        <v>48</v>
      </c>
      <c r="B10" s="17" t="n">
        <v>8.99</v>
      </c>
      <c r="C10" s="5" t="s">
        <v>49</v>
      </c>
      <c r="D10" s="15" t="s">
        <v>50</v>
      </c>
    </row>
    <row r="11" customFormat="false" ht="15" hidden="false" customHeight="false" outlineLevel="0" collapsed="false">
      <c r="A11" s="5" t="s">
        <v>51</v>
      </c>
      <c r="B11" s="17" t="n">
        <v>59.99</v>
      </c>
      <c r="C11" s="5" t="s">
        <v>52</v>
      </c>
      <c r="D11" s="15" t="s">
        <v>53</v>
      </c>
    </row>
    <row r="12" customFormat="false" ht="15" hidden="false" customHeight="false" outlineLevel="0" collapsed="false">
      <c r="A12" s="5" t="s">
        <v>54</v>
      </c>
      <c r="B12" s="17" t="n">
        <v>14.99</v>
      </c>
      <c r="C12" s="5" t="s">
        <v>49</v>
      </c>
      <c r="D12" s="15" t="s">
        <v>55</v>
      </c>
    </row>
    <row r="13" customFormat="false" ht="15" hidden="false" customHeight="false" outlineLevel="0" collapsed="false">
      <c r="A13" s="5" t="s">
        <v>56</v>
      </c>
      <c r="B13" s="17" t="n">
        <v>99.99</v>
      </c>
      <c r="C13" s="5" t="s">
        <v>52</v>
      </c>
      <c r="D13" s="15" t="s">
        <v>57</v>
      </c>
    </row>
    <row r="14" customFormat="false" ht="15" hidden="false" customHeight="false" outlineLevel="0" collapsed="false">
      <c r="A14" s="3" t="s">
        <v>58</v>
      </c>
      <c r="B14" s="4"/>
      <c r="C14" s="4"/>
      <c r="D14" s="4"/>
    </row>
    <row r="15" customFormat="false" ht="15" hidden="false" customHeight="false" outlineLevel="0" collapsed="false">
      <c r="A15" s="5" t="s">
        <v>59</v>
      </c>
      <c r="B15" s="16" t="n">
        <v>0.045</v>
      </c>
      <c r="C15" s="5" t="s">
        <v>60</v>
      </c>
      <c r="D15" s="15" t="s">
        <v>61</v>
      </c>
    </row>
    <row r="16" customFormat="false" ht="15" hidden="false" customHeight="false" outlineLevel="0" collapsed="false">
      <c r="A16" s="5" t="s">
        <v>62</v>
      </c>
      <c r="B16" s="16" t="n">
        <v>0.01</v>
      </c>
      <c r="C16" s="5" t="s">
        <v>60</v>
      </c>
      <c r="D16" s="15" t="s">
        <v>63</v>
      </c>
    </row>
    <row r="17" customFormat="false" ht="15" hidden="false" customHeight="false" outlineLevel="0" collapsed="false">
      <c r="A17" s="5" t="s">
        <v>64</v>
      </c>
      <c r="B17" s="16" t="n">
        <v>0.7</v>
      </c>
      <c r="C17" s="5" t="s">
        <v>65</v>
      </c>
      <c r="D17" s="15" t="s">
        <v>66</v>
      </c>
    </row>
    <row r="18" customFormat="false" ht="15" hidden="false" customHeight="false" outlineLevel="0" collapsed="false">
      <c r="A18" s="5" t="s">
        <v>67</v>
      </c>
      <c r="B18" s="16" t="n">
        <v>0.45</v>
      </c>
      <c r="C18" s="5" t="s">
        <v>68</v>
      </c>
      <c r="D18" s="15" t="s">
        <v>69</v>
      </c>
    </row>
    <row r="19" customFormat="false" ht="15" hidden="false" customHeight="false" outlineLevel="0" collapsed="false">
      <c r="A19" s="5" t="s">
        <v>70</v>
      </c>
      <c r="B19" s="16" t="n">
        <v>0.6</v>
      </c>
      <c r="C19" s="5" t="s">
        <v>71</v>
      </c>
      <c r="D19" s="15" t="s">
        <v>72</v>
      </c>
    </row>
    <row r="20" customFormat="false" ht="15" hidden="false" customHeight="false" outlineLevel="0" collapsed="false">
      <c r="A20" s="3" t="s">
        <v>73</v>
      </c>
      <c r="B20" s="4"/>
      <c r="C20" s="4"/>
      <c r="D20" s="4"/>
    </row>
    <row r="21" customFormat="false" ht="26.85" hidden="false" customHeight="false" outlineLevel="0" collapsed="false">
      <c r="A21" s="5" t="s">
        <v>74</v>
      </c>
      <c r="B21" s="18" t="n">
        <v>0.15</v>
      </c>
      <c r="C21" s="5" t="s">
        <v>75</v>
      </c>
      <c r="D21" s="15" t="s">
        <v>76</v>
      </c>
    </row>
    <row r="22" customFormat="false" ht="15" hidden="false" customHeight="false" outlineLevel="0" collapsed="false">
      <c r="A22" s="5" t="s">
        <v>77</v>
      </c>
      <c r="B22" s="18" t="n">
        <v>0.015</v>
      </c>
      <c r="C22" s="5" t="s">
        <v>78</v>
      </c>
      <c r="D22" s="15" t="s">
        <v>79</v>
      </c>
    </row>
    <row r="23" customFormat="false" ht="15" hidden="false" customHeight="false" outlineLevel="0" collapsed="false">
      <c r="A23" s="5" t="s">
        <v>80</v>
      </c>
      <c r="B23" s="19" t="n">
        <v>0.25</v>
      </c>
      <c r="C23" s="5" t="s">
        <v>81</v>
      </c>
      <c r="D23" s="15" t="s">
        <v>82</v>
      </c>
    </row>
    <row r="24" customFormat="false" ht="15" hidden="false" customHeight="false" outlineLevel="0" collapsed="false">
      <c r="A24" s="5" t="s">
        <v>83</v>
      </c>
      <c r="B24" s="18" t="n">
        <v>0.007</v>
      </c>
      <c r="C24" s="5" t="s">
        <v>78</v>
      </c>
      <c r="D24" s="15" t="s">
        <v>84</v>
      </c>
    </row>
    <row r="25" customFormat="false" ht="15" hidden="false" customHeight="false" outlineLevel="0" collapsed="false">
      <c r="A25" s="3" t="s">
        <v>85</v>
      </c>
      <c r="B25" s="4"/>
      <c r="C25" s="4"/>
      <c r="D25" s="4"/>
    </row>
    <row r="26" customFormat="false" ht="15" hidden="false" customHeight="false" outlineLevel="0" collapsed="false">
      <c r="A26" s="5" t="s">
        <v>86</v>
      </c>
      <c r="B26" s="20" t="s">
        <v>87</v>
      </c>
      <c r="C26" s="5" t="s">
        <v>88</v>
      </c>
      <c r="D26" s="15" t="s">
        <v>89</v>
      </c>
    </row>
    <row r="27" customFormat="false" ht="15" hidden="false" customHeight="false" outlineLevel="0" collapsed="false">
      <c r="A27" s="5" t="s">
        <v>90</v>
      </c>
      <c r="B27" s="21" t="n">
        <v>25000</v>
      </c>
      <c r="C27" s="5" t="s">
        <v>52</v>
      </c>
      <c r="D27" s="15" t="s">
        <v>91</v>
      </c>
    </row>
    <row r="28" customFormat="false" ht="26.85" hidden="false" customHeight="false" outlineLevel="0" collapsed="false">
      <c r="A28" s="5" t="s">
        <v>92</v>
      </c>
      <c r="B28" s="21" t="n">
        <v>10000</v>
      </c>
      <c r="C28" s="5" t="s">
        <v>52</v>
      </c>
      <c r="D28" s="15" t="s">
        <v>93</v>
      </c>
    </row>
    <row r="29" customFormat="false" ht="15" hidden="false" customHeight="false" outlineLevel="0" collapsed="false">
      <c r="A29" s="5" t="s">
        <v>94</v>
      </c>
      <c r="B29" s="16" t="n">
        <v>0.8</v>
      </c>
      <c r="C29" s="5" t="s">
        <v>95</v>
      </c>
      <c r="D29" s="15" t="s">
        <v>96</v>
      </c>
    </row>
    <row r="30" customFormat="false" ht="15" hidden="false" customHeight="false" outlineLevel="0" collapsed="false">
      <c r="A30" s="3" t="s">
        <v>97</v>
      </c>
      <c r="B30" s="4"/>
      <c r="C30" s="4"/>
      <c r="D30" s="4"/>
    </row>
    <row r="31" customFormat="false" ht="26.85" hidden="false" customHeight="false" outlineLevel="0" collapsed="false">
      <c r="A31" s="5" t="s">
        <v>98</v>
      </c>
      <c r="B31" s="22" t="n">
        <v>0.27</v>
      </c>
      <c r="C31" s="5" t="s">
        <v>99</v>
      </c>
      <c r="D31" s="15" t="s">
        <v>100</v>
      </c>
    </row>
    <row r="32" customFormat="false" ht="15" hidden="false" customHeight="false" outlineLevel="0" collapsed="false">
      <c r="A32" s="5" t="s">
        <v>101</v>
      </c>
      <c r="B32" s="23" t="n">
        <f aca="false">'AI worst case'!$I$19</f>
        <v>2.4902885</v>
      </c>
      <c r="C32" s="5" t="s">
        <v>99</v>
      </c>
      <c r="D32" s="15" t="s">
        <v>102</v>
      </c>
    </row>
    <row r="33" customFormat="false" ht="15" hidden="false" customHeight="false" outlineLevel="0" collapsed="false">
      <c r="A33" s="5" t="s">
        <v>103</v>
      </c>
      <c r="B33" s="22" t="n">
        <v>0.44</v>
      </c>
      <c r="C33" s="5" t="s">
        <v>99</v>
      </c>
      <c r="D33" s="15" t="s">
        <v>104</v>
      </c>
    </row>
    <row r="34" customFormat="false" ht="15" hidden="false" customHeight="false" outlineLevel="0" collapsed="false">
      <c r="A34" s="5" t="s">
        <v>105</v>
      </c>
      <c r="B34" s="23" t="n">
        <f aca="false">'AI worst case'!$J$19</f>
        <v>4.8380575</v>
      </c>
      <c r="C34" s="5" t="s">
        <v>99</v>
      </c>
      <c r="D34" s="15" t="s">
        <v>102</v>
      </c>
    </row>
    <row r="35" customFormat="false" ht="15" hidden="false" customHeight="false" outlineLevel="0" collapsed="false">
      <c r="A35" s="5" t="s">
        <v>106</v>
      </c>
      <c r="B35" s="19" t="n">
        <v>0.01</v>
      </c>
      <c r="C35" s="5" t="s">
        <v>49</v>
      </c>
      <c r="D35" s="15" t="s">
        <v>107</v>
      </c>
    </row>
    <row r="36" customFormat="false" ht="15" hidden="false" customHeight="false" outlineLevel="0" collapsed="false">
      <c r="A36" s="5" t="s">
        <v>108</v>
      </c>
      <c r="B36" s="19" t="n">
        <v>0.02</v>
      </c>
      <c r="C36" s="5" t="s">
        <v>49</v>
      </c>
      <c r="D36" s="15" t="s">
        <v>109</v>
      </c>
    </row>
    <row r="37" customFormat="false" ht="15" hidden="false" customHeight="false" outlineLevel="0" collapsed="false">
      <c r="A37" s="3" t="s">
        <v>110</v>
      </c>
      <c r="B37" s="4"/>
      <c r="C37" s="4"/>
      <c r="D37" s="4"/>
    </row>
    <row r="38" customFormat="false" ht="15" hidden="false" customHeight="false" outlineLevel="0" collapsed="false">
      <c r="A38" s="5" t="s">
        <v>111</v>
      </c>
      <c r="B38" s="24" t="n">
        <v>2000</v>
      </c>
      <c r="C38" s="5" t="s">
        <v>112</v>
      </c>
      <c r="D38" s="15" t="s">
        <v>113</v>
      </c>
    </row>
    <row r="39" customFormat="false" ht="15" hidden="false" customHeight="false" outlineLevel="0" collapsed="false">
      <c r="A39" s="5" t="s">
        <v>114</v>
      </c>
      <c r="B39" s="24" t="n">
        <v>20000</v>
      </c>
      <c r="C39" s="5" t="s">
        <v>112</v>
      </c>
      <c r="D39" s="15"/>
    </row>
    <row r="40" customFormat="false" ht="15" hidden="false" customHeight="false" outlineLevel="0" collapsed="false">
      <c r="A40" s="3" t="s">
        <v>115</v>
      </c>
      <c r="B40" s="4"/>
      <c r="C40" s="4"/>
      <c r="D40" s="4"/>
    </row>
    <row r="41" customFormat="false" ht="15" hidden="false" customHeight="false" outlineLevel="0" collapsed="false">
      <c r="A41" s="5" t="s">
        <v>116</v>
      </c>
      <c r="B41" s="19" t="n">
        <v>8687.04</v>
      </c>
      <c r="C41" s="5" t="s">
        <v>117</v>
      </c>
      <c r="D41" s="15" t="s">
        <v>118</v>
      </c>
    </row>
    <row r="42" customFormat="false" ht="15" hidden="false" customHeight="false" outlineLevel="0" collapsed="false">
      <c r="A42" s="5" t="s">
        <v>119</v>
      </c>
      <c r="B42" s="19" t="n">
        <v>17374.08</v>
      </c>
      <c r="C42" s="5" t="s">
        <v>117</v>
      </c>
      <c r="D42" s="15" t="s">
        <v>120</v>
      </c>
    </row>
    <row r="43" customFormat="false" ht="15" hidden="false" customHeight="false" outlineLevel="0" collapsed="false">
      <c r="A43" s="5" t="s">
        <v>121</v>
      </c>
      <c r="B43" s="18" t="n">
        <v>0.205</v>
      </c>
      <c r="C43" s="5" t="s">
        <v>43</v>
      </c>
      <c r="D43" s="15" t="s">
        <v>122</v>
      </c>
    </row>
    <row r="44" customFormat="false" ht="15" hidden="false" customHeight="false" outlineLevel="0" collapsed="false">
      <c r="A44" s="5" t="s">
        <v>123</v>
      </c>
      <c r="B44" s="19" t="n">
        <v>925.59</v>
      </c>
      <c r="C44" s="5" t="s">
        <v>124</v>
      </c>
      <c r="D44" s="15" t="s">
        <v>125</v>
      </c>
    </row>
    <row r="46" customFormat="false" ht="15" hidden="false" customHeight="false" outlineLevel="0" collapsed="false">
      <c r="A46" s="25" t="s">
        <v>126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4"/>
    <col collapsed="false" customWidth="true" hidden="false" outlineLevel="0" max="3" min="3" style="0" width="11"/>
    <col collapsed="false" customWidth="true" hidden="false" outlineLevel="0" max="5" min="4" style="0" width="12"/>
    <col collapsed="false" customWidth="true" hidden="false" outlineLevel="0" max="9" min="6" style="0" width="11"/>
    <col collapsed="false" customWidth="true" hidden="false" outlineLevel="0" max="13" min="10" style="0" width="14"/>
    <col collapsed="false" customWidth="true" hidden="false" outlineLevel="0" max="14" min="14" style="0" width="22"/>
  </cols>
  <sheetData>
    <row r="1" customFormat="false" ht="17.35" hidden="false" customHeight="false" outlineLevel="0" collapsed="false">
      <c r="A1" s="1" t="s">
        <v>127</v>
      </c>
    </row>
    <row r="2" customFormat="false" ht="15" hidden="false" customHeight="false" outlineLevel="0" collapsed="false">
      <c r="A2" s="2" t="s">
        <v>128</v>
      </c>
    </row>
    <row r="4" customFormat="false" ht="26.85" hidden="false" customHeight="false" outlineLevel="0" collapsed="false">
      <c r="A4" s="13" t="s">
        <v>129</v>
      </c>
      <c r="B4" s="13" t="s">
        <v>130</v>
      </c>
      <c r="C4" s="13" t="s">
        <v>131</v>
      </c>
      <c r="D4" s="13" t="s">
        <v>132</v>
      </c>
      <c r="E4" s="13" t="s">
        <v>133</v>
      </c>
      <c r="F4" s="13" t="s">
        <v>134</v>
      </c>
      <c r="G4" s="13" t="s">
        <v>135</v>
      </c>
      <c r="H4" s="13" t="s">
        <v>136</v>
      </c>
    </row>
    <row r="5" customFormat="false" ht="15" hidden="false" customHeight="false" outlineLevel="0" collapsed="false">
      <c r="A5" s="5" t="s">
        <v>137</v>
      </c>
      <c r="B5" s="5" t="s">
        <v>138</v>
      </c>
      <c r="C5" s="19" t="n">
        <v>8</v>
      </c>
      <c r="D5" s="6" t="n">
        <f aca="false">Assumptions!$B$10</f>
        <v>8.99</v>
      </c>
      <c r="E5" s="26" t="n">
        <f aca="false">D5/1</f>
        <v>8.99</v>
      </c>
      <c r="G5" s="27" t="n">
        <f aca="false">D5/C5-1</f>
        <v>0.12375</v>
      </c>
      <c r="H5" s="5" t="str">
        <f aca="false">IF(MOD(ROUND(D5*100,0),100)=99,"yes","round to .99")</f>
        <v>yes</v>
      </c>
    </row>
    <row r="6" customFormat="false" ht="15" hidden="false" customHeight="false" outlineLevel="0" collapsed="false">
      <c r="A6" s="7" t="s">
        <v>137</v>
      </c>
      <c r="B6" s="5" t="s">
        <v>139</v>
      </c>
      <c r="C6" s="19" t="n">
        <v>52</v>
      </c>
      <c r="D6" s="28" t="n">
        <f aca="false">Assumptions!$B$11</f>
        <v>59.99</v>
      </c>
      <c r="E6" s="26" t="n">
        <f aca="false">D6/12</f>
        <v>4.99916666666667</v>
      </c>
      <c r="F6" s="27" t="n">
        <f aca="false">1-D6/(12*D5)</f>
        <v>0.443919169447534</v>
      </c>
      <c r="G6" s="27" t="n">
        <f aca="false">D6/C6-1</f>
        <v>0.153653846153846</v>
      </c>
      <c r="H6" s="5" t="str">
        <f aca="false">IF(MOD(ROUND(D6*100,0),100)=99,"yes","round to .99")</f>
        <v>yes</v>
      </c>
    </row>
    <row r="7" customFormat="false" ht="15" hidden="false" customHeight="false" outlineLevel="0" collapsed="false">
      <c r="A7" s="5" t="s">
        <v>140</v>
      </c>
      <c r="B7" s="5" t="s">
        <v>138</v>
      </c>
      <c r="C7" s="19" t="n">
        <v>12</v>
      </c>
      <c r="D7" s="6" t="n">
        <f aca="false">Assumptions!$B$12</f>
        <v>14.99</v>
      </c>
      <c r="E7" s="26" t="n">
        <f aca="false">D7/1</f>
        <v>14.99</v>
      </c>
      <c r="G7" s="27" t="n">
        <f aca="false">D7/C7-1</f>
        <v>0.249166666666667</v>
      </c>
      <c r="H7" s="5" t="str">
        <f aca="false">IF(MOD(ROUND(D7*100,0),100)=99,"yes","round to .99")</f>
        <v>yes</v>
      </c>
    </row>
    <row r="8" customFormat="false" ht="15" hidden="false" customHeight="false" outlineLevel="0" collapsed="false">
      <c r="A8" s="5" t="s">
        <v>140</v>
      </c>
      <c r="B8" s="5" t="s">
        <v>139</v>
      </c>
      <c r="C8" s="19" t="n">
        <v>65</v>
      </c>
      <c r="D8" s="6" t="n">
        <f aca="false">Assumptions!$B$13</f>
        <v>99.99</v>
      </c>
      <c r="E8" s="26" t="n">
        <f aca="false">D8/12</f>
        <v>8.3325</v>
      </c>
      <c r="F8" s="27" t="n">
        <f aca="false">1-D8/(12*D7)</f>
        <v>0.444129419613075</v>
      </c>
      <c r="G8" s="27" t="n">
        <f aca="false">D8/C8-1</f>
        <v>0.538307692307692</v>
      </c>
      <c r="H8" s="5" t="str">
        <f aca="false">IF(MOD(ROUND(D8*100,0),100)=99,"yes","round to .99")</f>
        <v>yes</v>
      </c>
    </row>
    <row r="10" customFormat="false" ht="15" hidden="false" customHeight="false" outlineLevel="0" collapsed="false">
      <c r="A10" s="3" t="s">
        <v>141</v>
      </c>
      <c r="B10" s="4"/>
      <c r="C10" s="4"/>
      <c r="D10" s="4"/>
      <c r="E10" s="4"/>
      <c r="F10" s="4"/>
      <c r="G10" s="4"/>
      <c r="H10" s="4"/>
    </row>
    <row r="11" customFormat="false" ht="15" hidden="false" customHeight="false" outlineLevel="0" collapsed="false">
      <c r="A11" s="5" t="s">
        <v>142</v>
      </c>
      <c r="D11" s="26" t="n">
        <f aca="false">D8-D6</f>
        <v>40</v>
      </c>
    </row>
    <row r="12" customFormat="false" ht="15" hidden="false" customHeight="false" outlineLevel="0" collapsed="false">
      <c r="A12" s="5" t="s">
        <v>143</v>
      </c>
      <c r="D12" s="26" t="n">
        <f aca="false">(D8-D6)/12</f>
        <v>3.33333333333333</v>
      </c>
    </row>
    <row r="13" customFormat="false" ht="15" hidden="false" customHeight="false" outlineLevel="0" collapsed="false">
      <c r="A13" s="5" t="s">
        <v>144</v>
      </c>
      <c r="D13" s="26" t="n">
        <f aca="false">D7-D5</f>
        <v>6</v>
      </c>
    </row>
    <row r="14" customFormat="false" ht="15" hidden="false" customHeight="false" outlineLevel="0" collapsed="false">
      <c r="A14" s="25" t="s">
        <v>145</v>
      </c>
    </row>
    <row r="16" customFormat="false" ht="15" hidden="false" customHeight="false" outlineLevel="0" collapsed="false">
      <c r="A16" s="3" t="s">
        <v>146</v>
      </c>
      <c r="B16" s="4"/>
      <c r="C16" s="4"/>
      <c r="D16" s="4"/>
      <c r="E16" s="4"/>
      <c r="F16" s="4"/>
      <c r="G16" s="4"/>
      <c r="H16" s="4"/>
    </row>
    <row r="17" customFormat="false" ht="15" hidden="false" customHeight="false" outlineLevel="0" collapsed="false">
      <c r="A17" s="13" t="s">
        <v>147</v>
      </c>
      <c r="B17" s="13" t="s">
        <v>148</v>
      </c>
      <c r="C17" s="13" t="s">
        <v>149</v>
      </c>
      <c r="D17" s="13" t="s">
        <v>150</v>
      </c>
      <c r="E17" s="13" t="s">
        <v>151</v>
      </c>
      <c r="F17" s="13"/>
      <c r="G17" s="13"/>
      <c r="H17" s="13" t="s">
        <v>152</v>
      </c>
    </row>
    <row r="18" customFormat="false" ht="15" hidden="false" customHeight="false" outlineLevel="0" collapsed="false">
      <c r="A18" s="5" t="s">
        <v>153</v>
      </c>
      <c r="B18" s="5" t="s">
        <v>154</v>
      </c>
      <c r="C18" s="29" t="n">
        <v>9</v>
      </c>
      <c r="D18" s="29" t="n">
        <v>89</v>
      </c>
      <c r="E18" s="29" t="n">
        <v>299</v>
      </c>
      <c r="H18" s="5" t="s">
        <v>155</v>
      </c>
    </row>
    <row r="19" customFormat="false" ht="15" hidden="false" customHeight="false" outlineLevel="0" collapsed="false">
      <c r="A19" s="5" t="s">
        <v>156</v>
      </c>
      <c r="B19" s="5" t="s">
        <v>157</v>
      </c>
      <c r="C19" s="29" t="n">
        <v>5</v>
      </c>
      <c r="D19" s="29" t="s">
        <v>158</v>
      </c>
      <c r="E19" s="29" t="n">
        <v>150</v>
      </c>
      <c r="H19" s="5" t="s">
        <v>159</v>
      </c>
    </row>
    <row r="20" customFormat="false" ht="15" hidden="false" customHeight="false" outlineLevel="0" collapsed="false">
      <c r="A20" s="5" t="s">
        <v>160</v>
      </c>
      <c r="B20" s="5" t="s">
        <v>161</v>
      </c>
      <c r="C20" s="29" t="n">
        <v>6.99</v>
      </c>
      <c r="D20" s="29" t="n">
        <v>49.99</v>
      </c>
      <c r="E20" s="29" t="n">
        <v>109.99</v>
      </c>
      <c r="H20" s="5" t="s">
        <v>162</v>
      </c>
    </row>
    <row r="21" customFormat="false" ht="15" hidden="false" customHeight="false" outlineLevel="0" collapsed="false">
      <c r="A21" s="5" t="s">
        <v>163</v>
      </c>
      <c r="B21" s="5" t="s">
        <v>164</v>
      </c>
      <c r="C21" s="29" t="n">
        <v>14</v>
      </c>
      <c r="D21" s="29" t="s">
        <v>158</v>
      </c>
      <c r="E21" s="29" t="s">
        <v>158</v>
      </c>
      <c r="H21" s="5" t="s">
        <v>165</v>
      </c>
    </row>
    <row r="23" customFormat="false" ht="15" hidden="false" customHeight="false" outlineLevel="0" collapsed="false">
      <c r="A23" s="3" t="s">
        <v>166</v>
      </c>
      <c r="B23" s="4"/>
      <c r="C23" s="4"/>
      <c r="D23" s="4"/>
      <c r="E23" s="4"/>
      <c r="F23" s="4"/>
      <c r="G23" s="4"/>
      <c r="H23" s="4"/>
    </row>
    <row r="24" customFormat="false" ht="31.5" hidden="false" customHeight="true" outlineLevel="0" collapsed="false">
      <c r="A24" s="5" t="n">
        <v>1</v>
      </c>
      <c r="B24" s="30" t="s">
        <v>167</v>
      </c>
      <c r="C24" s="30"/>
      <c r="D24" s="30"/>
      <c r="E24" s="30"/>
      <c r="F24" s="30"/>
      <c r="G24" s="30"/>
      <c r="H24" s="30"/>
    </row>
    <row r="25" customFormat="false" ht="31.5" hidden="false" customHeight="true" outlineLevel="0" collapsed="false">
      <c r="A25" s="5" t="n">
        <v>2</v>
      </c>
      <c r="B25" s="30" t="s">
        <v>168</v>
      </c>
      <c r="C25" s="30"/>
      <c r="D25" s="30"/>
      <c r="E25" s="30"/>
      <c r="F25" s="30"/>
      <c r="G25" s="30"/>
      <c r="H25" s="30"/>
    </row>
    <row r="26" customFormat="false" ht="31.5" hidden="false" customHeight="true" outlineLevel="0" collapsed="false">
      <c r="A26" s="5" t="n">
        <v>3</v>
      </c>
      <c r="B26" s="30" t="s">
        <v>169</v>
      </c>
      <c r="C26" s="30"/>
      <c r="D26" s="30"/>
      <c r="E26" s="30"/>
      <c r="F26" s="30"/>
      <c r="G26" s="30"/>
      <c r="H26" s="30"/>
    </row>
    <row r="27" customFormat="false" ht="31.5" hidden="false" customHeight="true" outlineLevel="0" collapsed="false">
      <c r="A27" s="5" t="n">
        <v>4</v>
      </c>
      <c r="B27" s="30" t="s">
        <v>170</v>
      </c>
      <c r="C27" s="30"/>
      <c r="D27" s="30"/>
      <c r="E27" s="30"/>
      <c r="F27" s="30"/>
      <c r="G27" s="30"/>
      <c r="H27" s="30"/>
    </row>
    <row r="28" customFormat="false" ht="31.5" hidden="false" customHeight="true" outlineLevel="0" collapsed="false">
      <c r="A28" s="5" t="n">
        <v>5</v>
      </c>
      <c r="B28" s="30" t="s">
        <v>171</v>
      </c>
      <c r="C28" s="30"/>
      <c r="D28" s="30"/>
      <c r="E28" s="30"/>
      <c r="F28" s="30"/>
      <c r="G28" s="30"/>
      <c r="H28" s="30"/>
    </row>
    <row r="29" customFormat="false" ht="31.5" hidden="false" customHeight="true" outlineLevel="0" collapsed="false">
      <c r="A29" s="5" t="n">
        <v>6</v>
      </c>
      <c r="B29" s="30" t="s">
        <v>172</v>
      </c>
      <c r="C29" s="30"/>
      <c r="D29" s="30"/>
      <c r="E29" s="30"/>
      <c r="F29" s="30"/>
      <c r="G29" s="30"/>
      <c r="H29" s="30"/>
    </row>
    <row r="30" customFormat="false" ht="31.5" hidden="false" customHeight="true" outlineLevel="0" collapsed="false">
      <c r="A30" s="5" t="n">
        <v>7</v>
      </c>
      <c r="B30" s="30" t="s">
        <v>173</v>
      </c>
      <c r="C30" s="30"/>
      <c r="D30" s="30"/>
      <c r="E30" s="30"/>
      <c r="F30" s="30"/>
      <c r="G30" s="30"/>
      <c r="H30" s="30"/>
    </row>
    <row r="31" customFormat="false" ht="31.5" hidden="false" customHeight="true" outlineLevel="0" collapsed="false">
      <c r="A31" s="5" t="n">
        <v>8</v>
      </c>
      <c r="B31" s="30" t="s">
        <v>174</v>
      </c>
      <c r="C31" s="30"/>
      <c r="D31" s="30"/>
      <c r="E31" s="30"/>
      <c r="F31" s="30"/>
      <c r="G31" s="30"/>
      <c r="H31" s="30"/>
    </row>
    <row r="33" customFormat="false" ht="15" hidden="false" customHeight="false" outlineLevel="0" collapsed="false">
      <c r="A33" s="3" t="s">
        <v>175</v>
      </c>
      <c r="B33" s="4"/>
      <c r="C33" s="4"/>
      <c r="D33" s="4"/>
      <c r="E33" s="4"/>
      <c r="F33" s="4"/>
      <c r="G33" s="4"/>
      <c r="H33" s="4"/>
      <c r="I33" s="4"/>
      <c r="J33" s="4"/>
      <c r="K33" s="4"/>
      <c r="L33" s="4"/>
      <c r="M33" s="4"/>
      <c r="N33" s="4"/>
    </row>
    <row r="34" customFormat="false" ht="57.75" hidden="false" customHeight="true" outlineLevel="0" collapsed="false">
      <c r="A34" s="13" t="s">
        <v>176</v>
      </c>
      <c r="B34" s="13" t="s">
        <v>177</v>
      </c>
      <c r="C34" s="13" t="s">
        <v>178</v>
      </c>
      <c r="D34" s="13" t="s">
        <v>179</v>
      </c>
      <c r="E34" s="13" t="s">
        <v>180</v>
      </c>
      <c r="F34" s="13" t="s">
        <v>181</v>
      </c>
      <c r="G34" s="13" t="s">
        <v>182</v>
      </c>
      <c r="H34" s="13" t="s">
        <v>183</v>
      </c>
      <c r="I34" s="13" t="s">
        <v>184</v>
      </c>
      <c r="J34" s="13" t="s">
        <v>185</v>
      </c>
      <c r="K34" s="13" t="s">
        <v>186</v>
      </c>
      <c r="L34" s="13" t="s">
        <v>187</v>
      </c>
      <c r="M34" s="13" t="s">
        <v>188</v>
      </c>
      <c r="N34" s="13" t="s">
        <v>189</v>
      </c>
    </row>
    <row r="35" customFormat="false" ht="30" hidden="false" customHeight="true" outlineLevel="0" collapsed="false">
      <c r="A35" s="5" t="s">
        <v>190</v>
      </c>
      <c r="B35" s="15" t="s">
        <v>191</v>
      </c>
      <c r="C35" s="16" t="n">
        <v>0.7</v>
      </c>
      <c r="D35" s="16" t="n">
        <v>1</v>
      </c>
      <c r="E35" s="16" t="n">
        <v>1</v>
      </c>
      <c r="F35" s="26" t="n">
        <f aca="false">MAX(0.99,CEILING(Assumptions!$B$10*D35,1)-0.01)</f>
        <v>8.99</v>
      </c>
      <c r="G35" s="26" t="n">
        <f aca="false">MAX(0.99,CEILING(Assumptions!$B$11*D35,1)-0.01)</f>
        <v>59.99</v>
      </c>
      <c r="H35" s="26" t="n">
        <f aca="false">MAX(0.99,CEILING(Assumptions!$B$12*E35,1)-0.01)</f>
        <v>14.99</v>
      </c>
      <c r="I35" s="26" t="n">
        <f aca="false">MAX(0.99,CEILING(Assumptions!$B$13*E35,1)-0.01)</f>
        <v>99.99</v>
      </c>
      <c r="J35" s="26" t="n">
        <f aca="false">MIN(F35/1/(1+Assumptions!$B$7)*(1-Assumptions!$B$21),(F35/(1+Assumptions!$B$7)-(F35*(Assumptions!$B$22+Assumptions!$B$24)+Assumptions!$B$23))/1)-'AI worst case'!$F$25-Assumptions!$B$36</f>
        <v>3.70389504309835</v>
      </c>
      <c r="K35" s="26" t="n">
        <f aca="false">MIN(G35/12/(1+Assumptions!$B$7)*(1-Assumptions!$B$21),(G35/(1+Assumptions!$B$7)-(G35*(Assumptions!$B$22+Assumptions!$B$24)+Assumptions!$B$23))/12)-'AI worst case'!$F$25-Assumptions!$B$36</f>
        <v>0.90041708166584</v>
      </c>
      <c r="L35" s="26" t="n">
        <f aca="false">MIN(H35/1/(1+Assumptions!$B$7)*(1-Assumptions!$B$21),(H35/(1+Assumptions!$B$7)-(H35*(Assumptions!$B$22+Assumptions!$B$24)+Assumptions!$B$23))/1)-'AI worst case'!$G$25-Assumptions!$B$36</f>
        <v>5.4756826547562</v>
      </c>
      <c r="M35" s="26" t="n">
        <f aca="false">MIN(I35/12/(1+Assumptions!$B$7)*(1-Assumptions!$B$21),(I35/(1+Assumptions!$B$7)-(I35*(Assumptions!$B$22+Assumptions!$B$24)+Assumptions!$B$23))/12)-'AI worst case'!$G$25-Assumptions!$B$36</f>
        <v>0.79892645640909</v>
      </c>
      <c r="N35" s="7" t="str">
        <f aca="false">IF(MIN(J35:M35)&gt;='AI worst case'!$B$10,"yes","NO: raise the price or lower the allowance")</f>
        <v>yes</v>
      </c>
    </row>
    <row r="36" customFormat="false" ht="30" hidden="false" customHeight="true" outlineLevel="0" collapsed="false">
      <c r="A36" s="5" t="s">
        <v>192</v>
      </c>
      <c r="B36" s="15" t="s">
        <v>193</v>
      </c>
      <c r="C36" s="16" t="n">
        <v>0.15</v>
      </c>
      <c r="D36" s="16" t="n">
        <v>0.75</v>
      </c>
      <c r="E36" s="16" t="n">
        <v>0.75</v>
      </c>
      <c r="F36" s="26" t="n">
        <f aca="false">MAX(0.99,CEILING(Assumptions!$B$10*D36,1)-0.01)</f>
        <v>6.99</v>
      </c>
      <c r="G36" s="26" t="n">
        <f aca="false">MAX(0.99,CEILING(Assumptions!$B$11*D36,1)-0.01)</f>
        <v>44.99</v>
      </c>
      <c r="H36" s="26" t="n">
        <f aca="false">MAX(0.99,CEILING(Assumptions!$B$12*E36,1)-0.01)</f>
        <v>11.99</v>
      </c>
      <c r="I36" s="26" t="n">
        <f aca="false">MAX(0.99,CEILING(Assumptions!$B$13*E36,1)-0.01)</f>
        <v>74.99</v>
      </c>
      <c r="J36" s="26" t="n">
        <f aca="false">MIN(F36/1/(1+Assumptions!$B$7)*(1-Assumptions!$B$21),(F36/(1+Assumptions!$B$7)-(F36*(Assumptions!$B$22+Assumptions!$B$24)+Assumptions!$B$23))/1)-'AI worst case'!$F$26-Assumptions!$B$36</f>
        <v>2.7853728480324</v>
      </c>
      <c r="K36" s="26" t="n">
        <f aca="false">MIN(G36/12/(1+Assumptions!$B$7)*(1-Assumptions!$B$21),(G36/(1+Assumptions!$B$7)-(G36*(Assumptions!$B$22+Assumptions!$B$24)+Assumptions!$B$23))/12)-'AI worst case'!$F$26-Assumptions!$B$36</f>
        <v>0.508754390732122</v>
      </c>
      <c r="L36" s="26" t="n">
        <f aca="false">MIN(H36/1/(1+Assumptions!$B$7)*(1-Assumptions!$B$21),(H36/(1+Assumptions!$B$7)-(H36*(Assumptions!$B$22+Assumptions!$B$24)+Assumptions!$B$23))/1)-'AI worst case'!$G$26-Assumptions!$B$36</f>
        <v>4.63011907094727</v>
      </c>
      <c r="M36" s="26" t="n">
        <f aca="false">MIN(I36/12/(1+Assumptions!$B$7)*(1-Assumptions!$B$21),(I36/(1+Assumptions!$B$7)-(I36*(Assumptions!$B$22+Assumptions!$B$24)+Assumptions!$B$23))/12)-'AI worst case'!$G$26-Assumptions!$B$36</f>
        <v>0.597302266539558</v>
      </c>
      <c r="N36" s="7" t="str">
        <f aca="false">IF(MIN(J36:M36)&gt;='AI worst case'!$B$10,"yes","NO: raise the price or lower the allowance")</f>
        <v>yes</v>
      </c>
    </row>
    <row r="37" customFormat="false" ht="30" hidden="false" customHeight="true" outlineLevel="0" collapsed="false">
      <c r="A37" s="5" t="s">
        <v>194</v>
      </c>
      <c r="B37" s="15" t="s">
        <v>195</v>
      </c>
      <c r="C37" s="16" t="n">
        <v>0.1</v>
      </c>
      <c r="D37" s="16" t="n">
        <v>0.55</v>
      </c>
      <c r="E37" s="16" t="n">
        <v>0.55</v>
      </c>
      <c r="F37" s="26" t="n">
        <f aca="false">MAX(0.99,CEILING(Assumptions!$B$10*D37,1)-0.01)</f>
        <v>4.99</v>
      </c>
      <c r="G37" s="26" t="n">
        <f aca="false">MAX(0.99,CEILING(Assumptions!$B$11*D37,1)-0.01)</f>
        <v>32.99</v>
      </c>
      <c r="H37" s="26" t="n">
        <f aca="false">MAX(0.99,CEILING(Assumptions!$B$12*E37,1)-0.01)</f>
        <v>8.99</v>
      </c>
      <c r="I37" s="26" t="n">
        <f aca="false">MAX(0.99,CEILING(Assumptions!$B$13*E37,1)-0.01)</f>
        <v>54.99</v>
      </c>
      <c r="J37" s="26" t="n">
        <f aca="false">MIN(F37/1/(1+Assumptions!$B$7)*(1-Assumptions!$B$21),(F37/(1+Assumptions!$B$7)-(F37*(Assumptions!$B$22+Assumptions!$B$24)+Assumptions!$B$23))/1)-'AI worst case'!$F$27-Assumptions!$B$36</f>
        <v>1.78971701044645</v>
      </c>
      <c r="K37" s="26" t="n">
        <f aca="false">MIN(G37/12/(1+Assumptions!$B$7)*(1-Assumptions!$B$21),(G37/(1+Assumptions!$B$7)-(G37*(Assumptions!$B$22+Assumptions!$B$24)+Assumptions!$B$23))/12)-'AI worst case'!$F$27-Assumptions!$B$36</f>
        <v>0.215577891989146</v>
      </c>
      <c r="L37" s="26" t="n">
        <f aca="false">MIN(H37/1/(1+Assumptions!$B$7)*(1-Assumptions!$B$21),(H37/(1+Assumptions!$B$7)-(H37*(Assumptions!$B$22+Assumptions!$B$24)+Assumptions!$B$23))/1)-'AI worst case'!$G$27-Assumptions!$B$36</f>
        <v>3.57546075711835</v>
      </c>
      <c r="M37" s="26" t="n">
        <f aca="false">MIN(I37/12/(1+Assumptions!$B$7)*(1-Assumptions!$B$21),(I37/(1+Assumptions!$B$7)-(I37*(Assumptions!$B$22+Assumptions!$B$24)+Assumptions!$B$23))/12)-'AI worst case'!$G$27-Assumptions!$B$36</f>
        <v>0.479283071167935</v>
      </c>
      <c r="N37" s="7" t="str">
        <f aca="false">IF(MIN(J37:M37)&gt;='AI worst case'!$B$10,"yes","NO: raise the price or lower the allowance")</f>
        <v>yes</v>
      </c>
    </row>
    <row r="38" customFormat="false" ht="30" hidden="false" customHeight="true" outlineLevel="0" collapsed="false">
      <c r="A38" s="5" t="s">
        <v>196</v>
      </c>
      <c r="B38" s="15" t="s">
        <v>197</v>
      </c>
      <c r="C38" s="16" t="n">
        <v>0.05</v>
      </c>
      <c r="D38" s="16" t="n">
        <v>0.45</v>
      </c>
      <c r="E38" s="16" t="n">
        <v>0.45</v>
      </c>
      <c r="F38" s="26" t="n">
        <f aca="false">MAX(0.99,CEILING(Assumptions!$B$10*D38,1)-0.01)</f>
        <v>4.99</v>
      </c>
      <c r="G38" s="26" t="n">
        <f aca="false">MAX(0.99,CEILING(Assumptions!$B$11*D38,1)-0.01)</f>
        <v>26.99</v>
      </c>
      <c r="H38" s="26" t="n">
        <f aca="false">MAX(0.99,CEILING(Assumptions!$B$12*E38,1)-0.01)</f>
        <v>6.99</v>
      </c>
      <c r="I38" s="26" t="n">
        <f aca="false">MAX(0.99,CEILING(Assumptions!$B$13*E38,1)-0.01)</f>
        <v>44.99</v>
      </c>
      <c r="J38" s="26" t="n">
        <f aca="false">MIN(F38/1/(1+Assumptions!$B$7)*(1-Assumptions!$B$21),(F38/(1+Assumptions!$B$7)-(F38*(Assumptions!$B$22+Assumptions!$B$24)+Assumptions!$B$23))/1)-'AI worst case'!$F$28-Assumptions!$B$36</f>
        <v>2.05135636919645</v>
      </c>
      <c r="K38" s="26" t="n">
        <f aca="false">MIN(G38/12/(1+Assumptions!$B$7)*(1-Assumptions!$B$21),(G38/(1+Assumptions!$B$7)-(G38*(Assumptions!$B$22+Assumptions!$B$24)+Assumptions!$B$23))/12)-'AI worst case'!$F$28-Assumptions!$B$36</f>
        <v>0.125977581317658</v>
      </c>
      <c r="L38" s="26" t="n">
        <f aca="false">MIN(H38/1/(1+Assumptions!$B$7)*(1-Assumptions!$B$21),(H38/(1+Assumptions!$B$7)-(H38*(Assumptions!$B$22+Assumptions!$B$24)+Assumptions!$B$23))/1)-'AI worst case'!$G$28-Assumptions!$B$36</f>
        <v>2.6968919307824</v>
      </c>
      <c r="M38" s="26" t="n">
        <f aca="false">MIN(I38/12/(1+Assumptions!$B$7)*(1-Assumptions!$B$21),(I38/(1+Assumptions!$B$7)-(I38*(Assumptions!$B$22+Assumptions!$B$24)+Assumptions!$B$23))/12)-'AI worst case'!$G$28-Assumptions!$B$36</f>
        <v>0.420273473482121</v>
      </c>
      <c r="N38" s="7" t="str">
        <f aca="false">IF(MIN(J38:M38)&gt;='AI worst case'!$B$10,"yes","NO: raise the price or lower the allowance")</f>
        <v>yes</v>
      </c>
    </row>
    <row r="39" customFormat="false" ht="15" hidden="false" customHeight="false" outlineLevel="0" collapsed="false">
      <c r="A39" s="7" t="s">
        <v>198</v>
      </c>
      <c r="C39" s="31" t="n">
        <f aca="false">SUM(C35:C38)</f>
        <v>1</v>
      </c>
      <c r="D39" s="32" t="n">
        <f aca="false">IF(C39=0,1,SUMPRODUCT(C35:C38,D35:D38)/C39)</f>
        <v>0.89</v>
      </c>
      <c r="E39" s="32" t="n">
        <f aca="false">IF(C39=0,1,SUMPRODUCT(C35:C38,E35:E38)/C39)</f>
        <v>0.89</v>
      </c>
    </row>
    <row r="41" customFormat="false" ht="15" hidden="false" customHeight="false" outlineLevel="0" collapsed="false">
      <c r="A41" s="25" t="s">
        <v>199</v>
      </c>
    </row>
    <row r="42" customFormat="false" ht="15" hidden="false" customHeight="false" outlineLevel="0" collapsed="false">
      <c r="A42" s="25" t="s">
        <v>200</v>
      </c>
    </row>
    <row r="43" customFormat="false" ht="15" hidden="false" customHeight="false" outlineLevel="0" collapsed="false">
      <c r="A43" s="25" t="s">
        <v>201</v>
      </c>
    </row>
    <row r="44" customFormat="false" ht="15" hidden="false" customHeight="false" outlineLevel="0" collapsed="false">
      <c r="A44" s="25" t="s">
        <v>202</v>
      </c>
    </row>
    <row r="45" customFormat="false" ht="15" hidden="false" customHeight="false" outlineLevel="0" collapsed="false">
      <c r="A45" s="25" t="s">
        <v>203</v>
      </c>
    </row>
    <row r="46" customFormat="false" ht="15" hidden="false" customHeight="false" outlineLevel="0" collapsed="false">
      <c r="A46" s="25" t="s">
        <v>204</v>
      </c>
    </row>
  </sheetData>
  <mergeCells count="8">
    <mergeCell ref="B24:H24"/>
    <mergeCell ref="B25:H25"/>
    <mergeCell ref="B26:H26"/>
    <mergeCell ref="B27:H27"/>
    <mergeCell ref="B28:H28"/>
    <mergeCell ref="B29:H29"/>
    <mergeCell ref="B30:H30"/>
    <mergeCell ref="B31:H31"/>
  </mergeCells>
  <conditionalFormatting sqref="J35:M38">
    <cfRule type="cellIs" priority="2" operator="lessThan" aboveAverage="0" equalAverage="0" bottom="0" percent="0" rank="0" text="" dxfId="0">
      <formula>'AI worst case'!$B$10</formula>
    </cfRule>
    <cfRule type="cellIs" priority="3" operator="greaterThanOrEqual" aboveAverage="0" equalAverage="0" bottom="0" percent="0" rank="0" text="" dxfId="1">
      <formula>'AI worst case'!$B$10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5" min="3" style="0" width="12"/>
    <col collapsed="false" customWidth="true" hidden="false" outlineLevel="0" max="6" min="6" style="0" width="11"/>
    <col collapsed="false" customWidth="true" hidden="false" outlineLevel="0" max="8" min="7" style="0" width="13"/>
    <col collapsed="false" customWidth="true" hidden="false" outlineLevel="0" max="10" min="9" style="0" width="12"/>
    <col collapsed="false" customWidth="true" hidden="false" outlineLevel="0" max="11" min="11" style="0" width="80"/>
  </cols>
  <sheetData>
    <row r="1" customFormat="false" ht="17.35" hidden="false" customHeight="false" outlineLevel="0" collapsed="false">
      <c r="A1" s="1" t="s">
        <v>205</v>
      </c>
    </row>
    <row r="2" customFormat="false" ht="15" hidden="false" customHeight="false" outlineLevel="0" collapsed="false">
      <c r="A2" s="2" t="s">
        <v>206</v>
      </c>
    </row>
    <row r="4" customFormat="false" ht="15" hidden="false" customHeight="false" outlineLevel="0" collapsed="false">
      <c r="A4" s="3" t="s">
        <v>207</v>
      </c>
      <c r="B4" s="4"/>
      <c r="C4" s="4"/>
      <c r="D4" s="4"/>
      <c r="E4" s="4"/>
      <c r="F4" s="4"/>
      <c r="G4" s="4"/>
      <c r="H4" s="4"/>
      <c r="I4" s="4"/>
      <c r="J4" s="4"/>
      <c r="K4" s="4"/>
    </row>
    <row r="5" customFormat="false" ht="15" hidden="false" customHeight="false" outlineLevel="0" collapsed="false">
      <c r="A5" s="5" t="s">
        <v>208</v>
      </c>
      <c r="B5" s="29" t="n">
        <v>0.25</v>
      </c>
      <c r="C5" s="5" t="s">
        <v>209</v>
      </c>
      <c r="D5" s="5" t="s">
        <v>210</v>
      </c>
    </row>
    <row r="6" customFormat="false" ht="15" hidden="false" customHeight="false" outlineLevel="0" collapsed="false">
      <c r="A6" s="5" t="s">
        <v>211</v>
      </c>
      <c r="B6" s="29" t="n">
        <v>1.5</v>
      </c>
      <c r="C6" s="5" t="s">
        <v>209</v>
      </c>
    </row>
    <row r="7" customFormat="false" ht="15" hidden="false" customHeight="false" outlineLevel="0" collapsed="false">
      <c r="A7" s="5" t="s">
        <v>212</v>
      </c>
      <c r="B7" s="18" t="n">
        <v>0.6</v>
      </c>
      <c r="C7" s="5" t="s">
        <v>43</v>
      </c>
    </row>
    <row r="8" customFormat="false" ht="15" hidden="false" customHeight="false" outlineLevel="0" collapsed="false">
      <c r="A8" s="5" t="s">
        <v>213</v>
      </c>
      <c r="B8" s="18" t="n">
        <v>0.1</v>
      </c>
      <c r="C8" s="5" t="s">
        <v>214</v>
      </c>
    </row>
    <row r="9" customFormat="false" ht="15" hidden="false" customHeight="false" outlineLevel="0" collapsed="false">
      <c r="A9" s="5" t="s">
        <v>215</v>
      </c>
      <c r="B9" s="24" t="n">
        <v>900</v>
      </c>
      <c r="C9" s="5" t="s">
        <v>216</v>
      </c>
      <c r="D9" s="5" t="s">
        <v>217</v>
      </c>
    </row>
    <row r="10" customFormat="false" ht="15" hidden="false" customHeight="false" outlineLevel="0" collapsed="false">
      <c r="A10" s="5" t="s">
        <v>218</v>
      </c>
      <c r="B10" s="17" t="n">
        <v>0.1</v>
      </c>
      <c r="C10" s="5" t="s">
        <v>219</v>
      </c>
      <c r="D10" s="5" t="s">
        <v>220</v>
      </c>
    </row>
    <row r="11" customFormat="false" ht="43.5" hidden="false" customHeight="true" outlineLevel="0" collapsed="false">
      <c r="A11" s="13" t="s">
        <v>221</v>
      </c>
      <c r="B11" s="13" t="s">
        <v>222</v>
      </c>
      <c r="C11" s="13" t="s">
        <v>223</v>
      </c>
      <c r="D11" s="13" t="s">
        <v>224</v>
      </c>
      <c r="E11" s="13" t="s">
        <v>225</v>
      </c>
      <c r="F11" s="13" t="s">
        <v>226</v>
      </c>
      <c r="G11" s="13" t="s">
        <v>227</v>
      </c>
      <c r="H11" s="13" t="s">
        <v>228</v>
      </c>
      <c r="I11" s="13" t="s">
        <v>229</v>
      </c>
      <c r="J11" s="13" t="s">
        <v>230</v>
      </c>
      <c r="K11" s="13" t="s">
        <v>231</v>
      </c>
    </row>
    <row r="12" customFormat="false" ht="30" hidden="false" customHeight="true" outlineLevel="0" collapsed="false">
      <c r="A12" s="5" t="s">
        <v>232</v>
      </c>
      <c r="B12" s="33" t="n">
        <v>35</v>
      </c>
      <c r="C12" s="24" t="n">
        <v>1300</v>
      </c>
      <c r="D12" s="24" t="n">
        <v>2000</v>
      </c>
      <c r="E12" s="34" t="n">
        <f aca="false">B12*(C12*$B$5*(1-$B$7+$B$7*$B$8)+D12*$B$6)/1000000</f>
        <v>0.1102325</v>
      </c>
      <c r="F12" s="5" t="s">
        <v>233</v>
      </c>
      <c r="G12" s="24" t="n">
        <v>4</v>
      </c>
      <c r="H12" s="24" t="n">
        <v>8</v>
      </c>
      <c r="I12" s="35" t="n">
        <f aca="false">G12*E12</f>
        <v>0.44093</v>
      </c>
      <c r="J12" s="35" t="n">
        <f aca="false">H12*E12</f>
        <v>0.88186</v>
      </c>
      <c r="K12" s="15" t="s">
        <v>234</v>
      </c>
    </row>
    <row r="13" customFormat="false" ht="30" hidden="false" customHeight="true" outlineLevel="0" collapsed="false">
      <c r="A13" s="5" t="s">
        <v>235</v>
      </c>
      <c r="B13" s="33" t="n">
        <v>1.3</v>
      </c>
      <c r="C13" s="24" t="n">
        <v>2700</v>
      </c>
      <c r="D13" s="24" t="n">
        <v>3000</v>
      </c>
      <c r="E13" s="34" t="n">
        <f aca="false">B13*(C13*$B$5*(1-$B$7+$B$7*$B$8)+D13*$B$6)/1000000</f>
        <v>0.00625365</v>
      </c>
      <c r="F13" s="5" t="s">
        <v>233</v>
      </c>
      <c r="G13" s="24" t="n">
        <v>150</v>
      </c>
      <c r="H13" s="24" t="n">
        <v>150</v>
      </c>
      <c r="I13" s="35" t="n">
        <f aca="false">G13*E13</f>
        <v>0.9380475</v>
      </c>
      <c r="J13" s="35" t="n">
        <f aca="false">H13*E13</f>
        <v>0.9380475</v>
      </c>
      <c r="K13" s="15" t="s">
        <v>236</v>
      </c>
    </row>
    <row r="14" customFormat="false" ht="30" hidden="false" customHeight="true" outlineLevel="0" collapsed="false">
      <c r="A14" s="5" t="s">
        <v>237</v>
      </c>
      <c r="B14" s="33" t="n">
        <v>1</v>
      </c>
      <c r="C14" s="24" t="n">
        <v>900</v>
      </c>
      <c r="D14" s="24" t="n">
        <v>400</v>
      </c>
      <c r="E14" s="34" t="n">
        <f aca="false">B14*(C14*$B$5*(1-$B$7+$B$7*$B$8)+D14*$B$6)/1000000</f>
        <v>0.0007035</v>
      </c>
      <c r="F14" s="5" t="s">
        <v>233</v>
      </c>
      <c r="G14" s="36" t="n">
        <f aca="false">MAX(0,$B$9-G12-G13)</f>
        <v>746</v>
      </c>
      <c r="H14" s="24" t="n">
        <v>900</v>
      </c>
      <c r="I14" s="35" t="n">
        <f aca="false">G14*E14</f>
        <v>0.524811</v>
      </c>
      <c r="J14" s="35" t="n">
        <f aca="false">H14*E14</f>
        <v>0.63315</v>
      </c>
      <c r="K14" s="15" t="s">
        <v>238</v>
      </c>
    </row>
    <row r="15" customFormat="false" ht="30" hidden="false" customHeight="true" outlineLevel="0" collapsed="false">
      <c r="A15" s="5" t="s">
        <v>239</v>
      </c>
      <c r="B15" s="33" t="n">
        <v>1</v>
      </c>
      <c r="C15" s="24" t="n">
        <v>600</v>
      </c>
      <c r="D15" s="24" t="n">
        <v>400</v>
      </c>
      <c r="E15" s="34" t="n">
        <f aca="false">B15*(C15*$B$5*(1-$B$7+$B$7*$B$8)+D15*$B$6)/1000000</f>
        <v>0.000669</v>
      </c>
      <c r="F15" s="5" t="s">
        <v>233</v>
      </c>
      <c r="G15" s="24" t="n">
        <v>0</v>
      </c>
      <c r="H15" s="24" t="n">
        <v>1200</v>
      </c>
      <c r="I15" s="35" t="n">
        <f aca="false">G15*E15</f>
        <v>0</v>
      </c>
      <c r="J15" s="35" t="n">
        <f aca="false">H15*E15</f>
        <v>0.8028</v>
      </c>
      <c r="K15" s="15" t="s">
        <v>240</v>
      </c>
    </row>
    <row r="16" customFormat="false" ht="30" hidden="false" customHeight="true" outlineLevel="0" collapsed="false">
      <c r="A16" s="5" t="s">
        <v>241</v>
      </c>
      <c r="B16" s="33" t="n">
        <v>1</v>
      </c>
      <c r="C16" s="24" t="n">
        <v>1400</v>
      </c>
      <c r="D16" s="24" t="n">
        <v>120</v>
      </c>
      <c r="E16" s="34" t="n">
        <f aca="false">B16*(C16*$B$5*(1-$B$7+$B$7*$B$8)+D16*$B$6)/1000000</f>
        <v>0.000341</v>
      </c>
      <c r="F16" s="5" t="s">
        <v>233</v>
      </c>
      <c r="G16" s="24" t="n">
        <v>0</v>
      </c>
      <c r="H16" s="24" t="n">
        <v>1200</v>
      </c>
      <c r="I16" s="35" t="n">
        <f aca="false">G16*E16</f>
        <v>0</v>
      </c>
      <c r="J16" s="35" t="n">
        <f aca="false">H16*E16</f>
        <v>0.4092</v>
      </c>
      <c r="K16" s="15" t="s">
        <v>242</v>
      </c>
    </row>
    <row r="17" customFormat="false" ht="30" hidden="false" customHeight="true" outlineLevel="0" collapsed="false">
      <c r="A17" s="5" t="s">
        <v>243</v>
      </c>
      <c r="B17" s="33" t="n">
        <v>1</v>
      </c>
      <c r="C17" s="24" t="n">
        <v>400</v>
      </c>
      <c r="D17" s="24" t="n">
        <v>500</v>
      </c>
      <c r="E17" s="34" t="n">
        <f aca="false">B17*(C17*$B$5*(1-$B$7+$B$7*$B$8)+D17*$B$6)/1000000</f>
        <v>0.000796</v>
      </c>
      <c r="F17" s="5" t="s">
        <v>244</v>
      </c>
      <c r="G17" s="24" t="n">
        <v>450</v>
      </c>
      <c r="H17" s="24" t="n">
        <v>900</v>
      </c>
      <c r="I17" s="35" t="n">
        <f aca="false">G17*E17</f>
        <v>0.3582</v>
      </c>
      <c r="J17" s="35" t="n">
        <f aca="false">H17*E17</f>
        <v>0.7164</v>
      </c>
      <c r="K17" s="15" t="s">
        <v>245</v>
      </c>
    </row>
    <row r="18" customFormat="false" ht="30" hidden="false" customHeight="true" outlineLevel="0" collapsed="false">
      <c r="A18" s="5" t="s">
        <v>246</v>
      </c>
      <c r="B18" s="33" t="n">
        <v>1</v>
      </c>
      <c r="C18" s="24" t="n">
        <v>1400</v>
      </c>
      <c r="D18" s="24" t="n">
        <v>400</v>
      </c>
      <c r="E18" s="34" t="n">
        <f aca="false">B18*(C18*$B$5*(1-$B$7+$B$7*$B$8)+D18*$B$6)/1000000</f>
        <v>0.000761</v>
      </c>
      <c r="F18" s="5" t="s">
        <v>244</v>
      </c>
      <c r="G18" s="24" t="n">
        <v>300</v>
      </c>
      <c r="H18" s="24" t="n">
        <v>600</v>
      </c>
      <c r="I18" s="35" t="n">
        <f aca="false">G18*E18</f>
        <v>0.2283</v>
      </c>
      <c r="J18" s="35" t="n">
        <f aca="false">H18*E18</f>
        <v>0.4566</v>
      </c>
      <c r="K18" s="15" t="s">
        <v>247</v>
      </c>
    </row>
    <row r="19" customFormat="false" ht="15" hidden="false" customHeight="false" outlineLevel="0" collapsed="false">
      <c r="A19" s="7" t="s">
        <v>248</v>
      </c>
      <c r="I19" s="37" t="n">
        <f aca="false">SUM(I12:I18)</f>
        <v>2.4902885</v>
      </c>
      <c r="J19" s="37" t="n">
        <f aca="false">SUM(J12:J18)</f>
        <v>4.8380575</v>
      </c>
    </row>
    <row r="20" customFormat="false" ht="15" hidden="false" customHeight="false" outlineLevel="0" collapsed="false">
      <c r="A20" s="7" t="s">
        <v>249</v>
      </c>
      <c r="I20" s="38" t="n">
        <f aca="false">I19*Assumptions!$B$6*(1+Assumptions!$B$8)</f>
        <v>2.5913942131</v>
      </c>
      <c r="J20" s="38" t="n">
        <f aca="false">J19*Assumptions!$B$6*(1+Assumptions!$B$8)</f>
        <v>5.0344826345</v>
      </c>
    </row>
    <row r="23" customFormat="false" ht="15" hidden="false" customHeight="false" outlineLevel="0" collapsed="false">
      <c r="A23" s="3" t="s">
        <v>250</v>
      </c>
      <c r="B23" s="4"/>
      <c r="C23" s="4"/>
      <c r="D23" s="4"/>
      <c r="E23" s="4"/>
      <c r="F23" s="4"/>
      <c r="G23" s="4"/>
      <c r="H23" s="4"/>
      <c r="I23" s="4"/>
      <c r="J23" s="4"/>
      <c r="K23" s="4"/>
    </row>
    <row r="24" customFormat="false" ht="26.85" hidden="false" customHeight="false" outlineLevel="0" collapsed="false">
      <c r="A24" s="13" t="s">
        <v>176</v>
      </c>
      <c r="B24" s="13" t="s">
        <v>251</v>
      </c>
      <c r="C24" s="13" t="s">
        <v>252</v>
      </c>
      <c r="D24" s="13" t="s">
        <v>253</v>
      </c>
      <c r="E24" s="13" t="s">
        <v>254</v>
      </c>
      <c r="F24" s="13" t="s">
        <v>255</v>
      </c>
      <c r="G24" s="13" t="s">
        <v>256</v>
      </c>
    </row>
    <row r="25" customFormat="false" ht="15" hidden="false" customHeight="false" outlineLevel="0" collapsed="false">
      <c r="A25" s="39" t="str">
        <f aca="false">Pricing!A35</f>
        <v>1 – Full price</v>
      </c>
      <c r="B25" s="40" t="n">
        <f aca="false">Pricing!D35</f>
        <v>1</v>
      </c>
      <c r="C25" s="40" t="n">
        <f aca="false">Pricing!E35</f>
        <v>1</v>
      </c>
      <c r="D25" s="35" t="n">
        <f aca="false">ROUNDDOWN(G12*B25,0)*E12+ROUNDDOWN(G13*B25,0)*E13+MAX(0,$B$9-ROUNDDOWN(G12*B25,0)-ROUNDDOWN(G13*B25,0))*E14+ROUNDDOWN(G17*B25,0)*E17+ROUNDDOWN(G18*B25,0)*E18</f>
        <v>2.4902885</v>
      </c>
      <c r="E25" s="35" t="n">
        <f aca="false">ROUNDDOWN(H12*C25,0)*E12+ROUNDDOWN(H13*C25,0)*E13+ROUNDDOWN(H14*C25,0)*E14+ROUNDDOWN(H15*C25,0)*E15+ROUNDDOWN(H16*C25,0)*E16+ROUNDDOWN(H17*C25,0)*E17+ROUNDDOWN(H18*C25,0)*E18</f>
        <v>4.8380575</v>
      </c>
      <c r="F25" s="41" t="n">
        <f aca="false">D25*Assumptions!$B$6*(1+Assumptions!$B$8)</f>
        <v>2.5913942131</v>
      </c>
      <c r="G25" s="41" t="n">
        <f aca="false">E25*Assumptions!$B$6*(1+Assumptions!$B$8)</f>
        <v>5.0344826345</v>
      </c>
    </row>
    <row r="26" customFormat="false" ht="15" hidden="false" customHeight="false" outlineLevel="0" collapsed="false">
      <c r="A26" s="39" t="str">
        <f aca="false">Pricing!A36</f>
        <v>2 – Reduced</v>
      </c>
      <c r="B26" s="40" t="n">
        <f aca="false">Pricing!D36</f>
        <v>0.75</v>
      </c>
      <c r="C26" s="40" t="n">
        <f aca="false">Pricing!E36</f>
        <v>0.75</v>
      </c>
      <c r="D26" s="35" t="n">
        <f aca="false">ROUNDDOWN(G12*B26,0)*E12+ROUNDDOWN(G13*B26,0)*E13+MAX(0,$B$9-ROUNDDOWN(G12*B26,0)-ROUNDDOWN(G13*B26,0))*E14+ROUNDDOWN(G17*B26,0)*E17+ROUNDDOWN(G18*B26,0)*E18</f>
        <v>2.0228308</v>
      </c>
      <c r="E26" s="35" t="n">
        <f aca="false">ROUNDDOWN(H12*C26,0)*E12+ROUNDDOWN(H13*C26,0)*E13+ROUNDDOWN(H14*C26,0)*E14+ROUNDDOWN(H15*C26,0)*E15+ROUNDDOWN(H16*C26,0)*E16+ROUNDDOWN(H17*C26,0)*E17+ROUNDDOWN(H18*C26,0)*E18</f>
        <v>3.6254163</v>
      </c>
      <c r="F26" s="41" t="n">
        <f aca="false">D26*Assumptions!$B$6*(1+Assumptions!$B$8)</f>
        <v>2.10495773048</v>
      </c>
      <c r="G26" s="41" t="n">
        <f aca="false">E26*Assumptions!$B$6*(1+Assumptions!$B$8)</f>
        <v>3.77260820178</v>
      </c>
    </row>
    <row r="27" customFormat="false" ht="15" hidden="false" customHeight="false" outlineLevel="0" collapsed="false">
      <c r="A27" s="39" t="str">
        <f aca="false">Pricing!A37</f>
        <v>3 – Low</v>
      </c>
      <c r="B27" s="40" t="n">
        <f aca="false">Pricing!D37</f>
        <v>0.55</v>
      </c>
      <c r="C27" s="40" t="n">
        <f aca="false">Pricing!E37</f>
        <v>0.55</v>
      </c>
      <c r="D27" s="35" t="n">
        <f aca="false">ROUNDDOWN(G12*B27,0)*E12+ROUNDDOWN(G13*B27,0)*E13+MAX(0,$B$9-ROUNDDOWN(G12*B27,0)-ROUNDDOWN(G13*B27,0))*E14+ROUNDDOWN(G17*B27,0)*E17+ROUNDDOWN(G18*B27,0)*E18</f>
        <v>1.6294973</v>
      </c>
      <c r="E27" s="35" t="n">
        <f aca="false">ROUNDDOWN(H12*C27,0)*E12+ROUNDDOWN(H13*C27,0)*E13+ROUNDDOWN(H14*C27,0)*E14+ROUNDDOWN(H15*C27,0)*E15+ROUNDDOWN(H16*C27,0)*E16+ROUNDDOWN(H17*C27,0)*E17+ROUNDDOWN(H18*C27,0)*E18</f>
        <v>2.6137118</v>
      </c>
      <c r="F27" s="41" t="n">
        <f aca="false">D27*Assumptions!$B$6*(1+Assumptions!$B$8)</f>
        <v>1.69565489038</v>
      </c>
      <c r="G27" s="41" t="n">
        <f aca="false">E27*Assumptions!$B$6*(1+Assumptions!$B$8)</f>
        <v>2.71982849908</v>
      </c>
    </row>
    <row r="28" customFormat="false" ht="15" hidden="false" customHeight="false" outlineLevel="0" collapsed="false">
      <c r="A28" s="39" t="str">
        <f aca="false">Pricing!A38</f>
        <v>4 – Lowest</v>
      </c>
      <c r="B28" s="40" t="n">
        <f aca="false">Pricing!D38</f>
        <v>0.45</v>
      </c>
      <c r="C28" s="40" t="n">
        <f aca="false">Pricing!E38</f>
        <v>0.45</v>
      </c>
      <c r="D28" s="35" t="n">
        <f aca="false">ROUNDDOWN(G12*B28,0)*E12+ROUNDDOWN(G13*B28,0)*E13+MAX(0,$B$9-ROUNDDOWN(G12*B28,0)-ROUNDDOWN(G13*B28,0))*E14+ROUNDDOWN(G17*B28,0)*E17+ROUNDDOWN(G18*B28,0)*E18</f>
        <v>1.37806605</v>
      </c>
      <c r="E28" s="35" t="n">
        <f aca="false">ROUNDDOWN(H12*C28,0)*E12+ROUNDDOWN(H13*C28,0)*E13+ROUNDDOWN(H14*C28,0)*E14+ROUNDDOWN(H15*C28,0)*E15+ROUNDDOWN(H16*C28,0)*E16+ROUNDDOWN(H17*C28,0)*E17+ROUNDDOWN(H18*C28,0)*E18</f>
        <v>2.10785955</v>
      </c>
      <c r="F28" s="41" t="n">
        <f aca="false">D28*Assumptions!$B$6*(1+Assumptions!$B$8)</f>
        <v>1.43401553163</v>
      </c>
      <c r="G28" s="41" t="n">
        <f aca="false">E28*Assumptions!$B$6*(1+Assumptions!$B$8)</f>
        <v>2.19343864773</v>
      </c>
    </row>
    <row r="30" customFormat="false" ht="15" hidden="false" customHeight="false" outlineLevel="0" collapsed="false">
      <c r="A30" s="25" t="s">
        <v>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2" min="2" style="0" width="16"/>
    <col collapsed="false" customWidth="true" hidden="false" outlineLevel="0" max="3" min="3" style="0" width="11"/>
    <col collapsed="false" customWidth="true" hidden="false" outlineLevel="0" max="4" min="4" style="0" width="9"/>
    <col collapsed="false" customWidth="true" hidden="false" outlineLevel="0" max="7" min="5" style="0" width="10"/>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90"/>
  </cols>
  <sheetData>
    <row r="1" customFormat="false" ht="17.35" hidden="false" customHeight="false" outlineLevel="0" collapsed="false">
      <c r="A1" s="1" t="s">
        <v>258</v>
      </c>
    </row>
    <row r="2" customFormat="false" ht="15" hidden="false" customHeight="false" outlineLevel="0" collapsed="false">
      <c r="A2" s="2" t="s">
        <v>259</v>
      </c>
    </row>
    <row r="4" customFormat="false" ht="15" hidden="false" customHeight="false" outlineLevel="0" collapsed="false">
      <c r="A4" s="13" t="s">
        <v>260</v>
      </c>
      <c r="B4" s="13" t="s">
        <v>261</v>
      </c>
      <c r="C4" s="13" t="s">
        <v>262</v>
      </c>
      <c r="D4" s="13" t="s">
        <v>263</v>
      </c>
      <c r="E4" s="13" t="s">
        <v>264</v>
      </c>
      <c r="F4" s="13" t="s">
        <v>265</v>
      </c>
      <c r="G4" s="13" t="s">
        <v>266</v>
      </c>
      <c r="H4" s="13" t="s">
        <v>267</v>
      </c>
      <c r="I4" s="13" t="s">
        <v>268</v>
      </c>
      <c r="J4" s="13" t="s">
        <v>269</v>
      </c>
      <c r="K4" s="13" t="s">
        <v>270</v>
      </c>
    </row>
    <row r="5" customFormat="false" ht="26.85" hidden="false" customHeight="false" outlineLevel="0" collapsed="false">
      <c r="A5" s="5" t="s">
        <v>271</v>
      </c>
      <c r="B5" s="5" t="s">
        <v>272</v>
      </c>
      <c r="C5" s="42" t="s">
        <v>87</v>
      </c>
      <c r="D5" s="43" t="s">
        <v>273</v>
      </c>
      <c r="E5" s="44" t="n">
        <v>111.5</v>
      </c>
      <c r="F5" s="44" t="n">
        <v>111.5</v>
      </c>
      <c r="G5" s="44" t="n">
        <v>111.5</v>
      </c>
      <c r="H5" s="26" t="n">
        <f aca="false">E5*IF($D5="USD",Assumptions!$B$6*(1+Assumptions!$B$8),1)</f>
        <v>111.5</v>
      </c>
      <c r="I5" s="26" t="n">
        <f aca="false">F5*IF($D5="USD",Assumptions!$B$6*(1+Assumptions!$B$8),1)</f>
        <v>111.5</v>
      </c>
      <c r="J5" s="26" t="n">
        <f aca="false">G5*IF($D5="USD",Assumptions!$B$6*(1+Assumptions!$B$8),1)</f>
        <v>111.5</v>
      </c>
      <c r="K5" s="15" t="s">
        <v>274</v>
      </c>
    </row>
    <row r="6" customFormat="false" ht="26.85" hidden="false" customHeight="false" outlineLevel="0" collapsed="false">
      <c r="A6" s="5" t="s">
        <v>275</v>
      </c>
      <c r="B6" s="5" t="s">
        <v>272</v>
      </c>
      <c r="C6" s="42" t="s">
        <v>87</v>
      </c>
      <c r="D6" s="43" t="s">
        <v>273</v>
      </c>
      <c r="E6" s="44" t="n">
        <v>0</v>
      </c>
      <c r="F6" s="44" t="n">
        <v>0</v>
      </c>
      <c r="G6" s="44" t="n">
        <v>0</v>
      </c>
      <c r="H6" s="26" t="n">
        <f aca="false">E6*IF($D6="USD",Assumptions!$B$6*(1+Assumptions!$B$8),1)</f>
        <v>0</v>
      </c>
      <c r="I6" s="26" t="n">
        <f aca="false">F6*IF($D6="USD",Assumptions!$B$6*(1+Assumptions!$B$8),1)</f>
        <v>0</v>
      </c>
      <c r="J6" s="26" t="n">
        <f aca="false">G6*IF($D6="USD",Assumptions!$B$6*(1+Assumptions!$B$8),1)</f>
        <v>0</v>
      </c>
      <c r="K6" s="15" t="s">
        <v>276</v>
      </c>
    </row>
    <row r="7" customFormat="false" ht="26.85" hidden="false" customHeight="false" outlineLevel="0" collapsed="false">
      <c r="A7" s="5" t="s">
        <v>277</v>
      </c>
      <c r="B7" s="5" t="s">
        <v>272</v>
      </c>
      <c r="C7" s="42" t="s">
        <v>87</v>
      </c>
      <c r="D7" s="43" t="s">
        <v>273</v>
      </c>
      <c r="E7" s="44" t="n">
        <v>0</v>
      </c>
      <c r="F7" s="44" t="n">
        <v>0</v>
      </c>
      <c r="G7" s="44" t="n">
        <v>0</v>
      </c>
      <c r="H7" s="26" t="n">
        <f aca="false">E7*IF($D7="USD",Assumptions!$B$6*(1+Assumptions!$B$8),1)</f>
        <v>0</v>
      </c>
      <c r="I7" s="26" t="n">
        <f aca="false">F7*IF($D7="USD",Assumptions!$B$6*(1+Assumptions!$B$8),1)</f>
        <v>0</v>
      </c>
      <c r="J7" s="26" t="n">
        <f aca="false">G7*IF($D7="USD",Assumptions!$B$6*(1+Assumptions!$B$8),1)</f>
        <v>0</v>
      </c>
      <c r="K7" s="15" t="s">
        <v>278</v>
      </c>
    </row>
    <row r="8" customFormat="false" ht="15" hidden="false" customHeight="false" outlineLevel="0" collapsed="false">
      <c r="A8" s="5" t="s">
        <v>279</v>
      </c>
      <c r="B8" s="5" t="s">
        <v>272</v>
      </c>
      <c r="C8" s="42" t="s">
        <v>87</v>
      </c>
      <c r="D8" s="43" t="s">
        <v>273</v>
      </c>
      <c r="E8" s="44" t="n">
        <v>0</v>
      </c>
      <c r="F8" s="44" t="n">
        <v>0</v>
      </c>
      <c r="G8" s="44" t="n">
        <v>0</v>
      </c>
      <c r="H8" s="26" t="n">
        <f aca="false">E8*IF($D8="USD",Assumptions!$B$6*(1+Assumptions!$B$8),1)</f>
        <v>0</v>
      </c>
      <c r="I8" s="26" t="n">
        <f aca="false">F8*IF($D8="USD",Assumptions!$B$6*(1+Assumptions!$B$8),1)</f>
        <v>0</v>
      </c>
      <c r="J8" s="26" t="n">
        <f aca="false">G8*IF($D8="USD",Assumptions!$B$6*(1+Assumptions!$B$8),1)</f>
        <v>0</v>
      </c>
      <c r="K8" s="15" t="s">
        <v>280</v>
      </c>
    </row>
    <row r="9" customFormat="false" ht="15" hidden="false" customHeight="false" outlineLevel="0" collapsed="false">
      <c r="A9" s="5" t="s">
        <v>281</v>
      </c>
      <c r="B9" s="5" t="s">
        <v>272</v>
      </c>
      <c r="C9" s="42" t="s">
        <v>282</v>
      </c>
      <c r="D9" s="43" t="s">
        <v>273</v>
      </c>
      <c r="E9" s="44" t="n">
        <v>1000</v>
      </c>
      <c r="F9" s="44" t="n">
        <v>1400</v>
      </c>
      <c r="G9" s="44" t="n">
        <v>2000</v>
      </c>
      <c r="H9" s="26" t="n">
        <f aca="false">E9*IF($D9="USD",Assumptions!$B$6*(1+Assumptions!$B$8),1)</f>
        <v>1000</v>
      </c>
      <c r="I9" s="26" t="n">
        <f aca="false">F9*IF($D9="USD",Assumptions!$B$6*(1+Assumptions!$B$8),1)</f>
        <v>1400</v>
      </c>
      <c r="J9" s="26" t="n">
        <f aca="false">G9*IF($D9="USD",Assumptions!$B$6*(1+Assumptions!$B$8),1)</f>
        <v>2000</v>
      </c>
      <c r="K9" s="15" t="s">
        <v>283</v>
      </c>
    </row>
    <row r="10" customFormat="false" ht="15" hidden="false" customHeight="false" outlineLevel="0" collapsed="false">
      <c r="A10" s="5" t="s">
        <v>284</v>
      </c>
      <c r="B10" s="5" t="s">
        <v>272</v>
      </c>
      <c r="C10" s="42" t="s">
        <v>87</v>
      </c>
      <c r="D10" s="43" t="s">
        <v>273</v>
      </c>
      <c r="E10" s="44" t="n">
        <v>271</v>
      </c>
      <c r="F10" s="44" t="n">
        <v>271</v>
      </c>
      <c r="G10" s="44" t="n">
        <v>271</v>
      </c>
      <c r="H10" s="26" t="n">
        <f aca="false">E10*IF($D10="USD",Assumptions!$B$6*(1+Assumptions!$B$8),1)</f>
        <v>271</v>
      </c>
      <c r="I10" s="26" t="n">
        <f aca="false">F10*IF($D10="USD",Assumptions!$B$6*(1+Assumptions!$B$8),1)</f>
        <v>271</v>
      </c>
      <c r="J10" s="26" t="n">
        <f aca="false">G10*IF($D10="USD",Assumptions!$B$6*(1+Assumptions!$B$8),1)</f>
        <v>271</v>
      </c>
      <c r="K10" s="15" t="s">
        <v>285</v>
      </c>
    </row>
    <row r="11" customFormat="false" ht="15" hidden="false" customHeight="false" outlineLevel="0" collapsed="false">
      <c r="A11" s="5" t="s">
        <v>286</v>
      </c>
      <c r="B11" s="5" t="s">
        <v>272</v>
      </c>
      <c r="C11" s="42" t="s">
        <v>282</v>
      </c>
      <c r="D11" s="43" t="s">
        <v>273</v>
      </c>
      <c r="E11" s="44" t="n">
        <v>900</v>
      </c>
      <c r="F11" s="44" t="n">
        <v>900</v>
      </c>
      <c r="G11" s="44" t="n">
        <v>900</v>
      </c>
      <c r="H11" s="26" t="n">
        <f aca="false">E11*IF($D11="USD",Assumptions!$B$6*(1+Assumptions!$B$8),1)</f>
        <v>900</v>
      </c>
      <c r="I11" s="26" t="n">
        <f aca="false">F11*IF($D11="USD",Assumptions!$B$6*(1+Assumptions!$B$8),1)</f>
        <v>900</v>
      </c>
      <c r="J11" s="26" t="n">
        <f aca="false">G11*IF($D11="USD",Assumptions!$B$6*(1+Assumptions!$B$8),1)</f>
        <v>900</v>
      </c>
      <c r="K11" s="15" t="s">
        <v>287</v>
      </c>
    </row>
    <row r="12" customFormat="false" ht="15" hidden="false" customHeight="false" outlineLevel="0" collapsed="false">
      <c r="A12" s="5" t="s">
        <v>288</v>
      </c>
      <c r="B12" s="5" t="s">
        <v>272</v>
      </c>
      <c r="C12" s="42" t="s">
        <v>282</v>
      </c>
      <c r="D12" s="43" t="s">
        <v>273</v>
      </c>
      <c r="E12" s="44" t="n">
        <v>0</v>
      </c>
      <c r="F12" s="44" t="n">
        <v>0</v>
      </c>
      <c r="G12" s="44" t="n">
        <v>500</v>
      </c>
      <c r="H12" s="26" t="n">
        <f aca="false">E12*IF($D12="USD",Assumptions!$B$6*(1+Assumptions!$B$8),1)</f>
        <v>0</v>
      </c>
      <c r="I12" s="26" t="n">
        <f aca="false">F12*IF($D12="USD",Assumptions!$B$6*(1+Assumptions!$B$8),1)</f>
        <v>0</v>
      </c>
      <c r="J12" s="26" t="n">
        <f aca="false">G12*IF($D12="USD",Assumptions!$B$6*(1+Assumptions!$B$8),1)</f>
        <v>500</v>
      </c>
      <c r="K12" s="15" t="s">
        <v>289</v>
      </c>
    </row>
    <row r="13" customFormat="false" ht="15" hidden="false" customHeight="false" outlineLevel="0" collapsed="false">
      <c r="A13" s="5" t="s">
        <v>290</v>
      </c>
      <c r="B13" s="5" t="s">
        <v>272</v>
      </c>
      <c r="C13" s="42" t="s">
        <v>87</v>
      </c>
      <c r="D13" s="43" t="s">
        <v>273</v>
      </c>
      <c r="E13" s="44" t="n">
        <v>0</v>
      </c>
      <c r="F13" s="44" t="n">
        <v>400</v>
      </c>
      <c r="G13" s="44" t="n">
        <v>1500</v>
      </c>
      <c r="H13" s="26" t="n">
        <f aca="false">E13*IF($D13="USD",Assumptions!$B$6*(1+Assumptions!$B$8),1)</f>
        <v>0</v>
      </c>
      <c r="I13" s="26" t="n">
        <f aca="false">F13*IF($D13="USD",Assumptions!$B$6*(1+Assumptions!$B$8),1)</f>
        <v>400</v>
      </c>
      <c r="J13" s="26" t="n">
        <f aca="false">G13*IF($D13="USD",Assumptions!$B$6*(1+Assumptions!$B$8),1)</f>
        <v>1500</v>
      </c>
      <c r="K13" s="15" t="s">
        <v>291</v>
      </c>
    </row>
    <row r="14" customFormat="false" ht="15" hidden="false" customHeight="false" outlineLevel="0" collapsed="false">
      <c r="A14" s="5" t="s">
        <v>292</v>
      </c>
      <c r="B14" s="5" t="s">
        <v>272</v>
      </c>
      <c r="C14" s="42" t="s">
        <v>87</v>
      </c>
      <c r="D14" s="43" t="s">
        <v>273</v>
      </c>
      <c r="E14" s="44" t="n">
        <v>0</v>
      </c>
      <c r="F14" s="44" t="n">
        <v>150</v>
      </c>
      <c r="G14" s="44" t="n">
        <v>300</v>
      </c>
      <c r="H14" s="26" t="n">
        <f aca="false">E14*IF($D14="USD",Assumptions!$B$6*(1+Assumptions!$B$8),1)</f>
        <v>0</v>
      </c>
      <c r="I14" s="26" t="n">
        <f aca="false">F14*IF($D14="USD",Assumptions!$B$6*(1+Assumptions!$B$8),1)</f>
        <v>150</v>
      </c>
      <c r="J14" s="26" t="n">
        <f aca="false">G14*IF($D14="USD",Assumptions!$B$6*(1+Assumptions!$B$8),1)</f>
        <v>300</v>
      </c>
      <c r="K14" s="15" t="s">
        <v>293</v>
      </c>
    </row>
    <row r="15" customFormat="false" ht="15" hidden="false" customHeight="false" outlineLevel="0" collapsed="false">
      <c r="A15" s="5" t="s">
        <v>294</v>
      </c>
      <c r="B15" s="5" t="s">
        <v>295</v>
      </c>
      <c r="C15" s="42" t="s">
        <v>87</v>
      </c>
      <c r="D15" s="43" t="s">
        <v>296</v>
      </c>
      <c r="E15" s="44" t="n">
        <v>25</v>
      </c>
      <c r="F15" s="44" t="n">
        <v>25</v>
      </c>
      <c r="G15" s="44" t="n">
        <v>25</v>
      </c>
      <c r="H15" s="26" t="n">
        <f aca="false">E15*IF($D15="USD",Assumptions!$B$6*(1+Assumptions!$B$8),1)</f>
        <v>26.015</v>
      </c>
      <c r="I15" s="26" t="n">
        <f aca="false">F15*IF($D15="USD",Assumptions!$B$6*(1+Assumptions!$B$8),1)</f>
        <v>26.015</v>
      </c>
      <c r="J15" s="26" t="n">
        <f aca="false">G15*IF($D15="USD",Assumptions!$B$6*(1+Assumptions!$B$8),1)</f>
        <v>26.015</v>
      </c>
      <c r="K15" s="15" t="s">
        <v>297</v>
      </c>
    </row>
    <row r="16" customFormat="false" ht="15" hidden="false" customHeight="false" outlineLevel="0" collapsed="false">
      <c r="A16" s="5" t="s">
        <v>298</v>
      </c>
      <c r="B16" s="5" t="s">
        <v>295</v>
      </c>
      <c r="C16" s="42" t="s">
        <v>282</v>
      </c>
      <c r="D16" s="43" t="s">
        <v>273</v>
      </c>
      <c r="E16" s="44" t="n">
        <v>0</v>
      </c>
      <c r="F16" s="44" t="n">
        <v>0</v>
      </c>
      <c r="G16" s="44" t="n">
        <v>700</v>
      </c>
      <c r="H16" s="26" t="n">
        <f aca="false">E16*IF($D16="USD",Assumptions!$B$6*(1+Assumptions!$B$8),1)</f>
        <v>0</v>
      </c>
      <c r="I16" s="26" t="n">
        <f aca="false">F16*IF($D16="USD",Assumptions!$B$6*(1+Assumptions!$B$8),1)</f>
        <v>0</v>
      </c>
      <c r="J16" s="26" t="n">
        <f aca="false">G16*IF($D16="USD",Assumptions!$B$6*(1+Assumptions!$B$8),1)</f>
        <v>700</v>
      </c>
      <c r="K16" s="15" t="s">
        <v>299</v>
      </c>
    </row>
    <row r="17" customFormat="false" ht="15" hidden="false" customHeight="false" outlineLevel="0" collapsed="false">
      <c r="A17" s="5" t="s">
        <v>300</v>
      </c>
      <c r="B17" s="5" t="s">
        <v>295</v>
      </c>
      <c r="C17" s="42" t="s">
        <v>282</v>
      </c>
      <c r="D17" s="43" t="s">
        <v>273</v>
      </c>
      <c r="E17" s="44" t="n">
        <v>0</v>
      </c>
      <c r="F17" s="44" t="n">
        <v>150</v>
      </c>
      <c r="G17" s="44" t="n">
        <v>400</v>
      </c>
      <c r="H17" s="26" t="n">
        <f aca="false">E17*IF($D17="USD",Assumptions!$B$6*(1+Assumptions!$B$8),1)</f>
        <v>0</v>
      </c>
      <c r="I17" s="26" t="n">
        <f aca="false">F17*IF($D17="USD",Assumptions!$B$6*(1+Assumptions!$B$8),1)</f>
        <v>150</v>
      </c>
      <c r="J17" s="26" t="n">
        <f aca="false">G17*IF($D17="USD",Assumptions!$B$6*(1+Assumptions!$B$8),1)</f>
        <v>400</v>
      </c>
      <c r="K17" s="15"/>
    </row>
    <row r="18" customFormat="false" ht="26.85" hidden="false" customHeight="false" outlineLevel="0" collapsed="false">
      <c r="A18" s="5" t="s">
        <v>301</v>
      </c>
      <c r="B18" s="5" t="s">
        <v>295</v>
      </c>
      <c r="C18" s="42" t="s">
        <v>87</v>
      </c>
      <c r="D18" s="43" t="s">
        <v>296</v>
      </c>
      <c r="E18" s="44" t="n">
        <v>10</v>
      </c>
      <c r="F18" s="44" t="n">
        <v>20</v>
      </c>
      <c r="G18" s="44" t="n">
        <v>40</v>
      </c>
      <c r="H18" s="26" t="n">
        <f aca="false">E18*IF($D18="USD",Assumptions!$B$6*(1+Assumptions!$B$8),1)</f>
        <v>10.406</v>
      </c>
      <c r="I18" s="26" t="n">
        <f aca="false">F18*IF($D18="USD",Assumptions!$B$6*(1+Assumptions!$B$8),1)</f>
        <v>20.812</v>
      </c>
      <c r="J18" s="26" t="n">
        <f aca="false">G18*IF($D18="USD",Assumptions!$B$6*(1+Assumptions!$B$8),1)</f>
        <v>41.624</v>
      </c>
      <c r="K18" s="15" t="s">
        <v>302</v>
      </c>
    </row>
    <row r="19" customFormat="false" ht="15" hidden="false" customHeight="false" outlineLevel="0" collapsed="false">
      <c r="A19" s="5" t="s">
        <v>303</v>
      </c>
      <c r="B19" s="5" t="s">
        <v>295</v>
      </c>
      <c r="C19" s="42" t="s">
        <v>87</v>
      </c>
      <c r="D19" s="43" t="s">
        <v>273</v>
      </c>
      <c r="E19" s="44" t="n">
        <v>0</v>
      </c>
      <c r="F19" s="44" t="n">
        <v>0</v>
      </c>
      <c r="G19" s="44" t="n">
        <v>0</v>
      </c>
      <c r="H19" s="26" t="n">
        <f aca="false">E19*IF($D19="USD",Assumptions!$B$6*(1+Assumptions!$B$8),1)</f>
        <v>0</v>
      </c>
      <c r="I19" s="26" t="n">
        <f aca="false">F19*IF($D19="USD",Assumptions!$B$6*(1+Assumptions!$B$8),1)</f>
        <v>0</v>
      </c>
      <c r="J19" s="26" t="n">
        <f aca="false">G19*IF($D19="USD",Assumptions!$B$6*(1+Assumptions!$B$8),1)</f>
        <v>0</v>
      </c>
      <c r="K19" s="15" t="s">
        <v>304</v>
      </c>
    </row>
    <row r="20" customFormat="false" ht="26.85" hidden="false" customHeight="false" outlineLevel="0" collapsed="false">
      <c r="A20" s="5" t="s">
        <v>305</v>
      </c>
      <c r="B20" s="5" t="s">
        <v>295</v>
      </c>
      <c r="C20" s="42" t="s">
        <v>87</v>
      </c>
      <c r="D20" s="43" t="s">
        <v>273</v>
      </c>
      <c r="E20" s="44" t="n">
        <v>0</v>
      </c>
      <c r="F20" s="44" t="n">
        <v>0</v>
      </c>
      <c r="G20" s="44" t="n">
        <v>0</v>
      </c>
      <c r="H20" s="26" t="n">
        <f aca="false">E20*IF($D20="USD",Assumptions!$B$6*(1+Assumptions!$B$8),1)</f>
        <v>0</v>
      </c>
      <c r="I20" s="26" t="n">
        <f aca="false">F20*IF($D20="USD",Assumptions!$B$6*(1+Assumptions!$B$8),1)</f>
        <v>0</v>
      </c>
      <c r="J20" s="26" t="n">
        <f aca="false">G20*IF($D20="USD",Assumptions!$B$6*(1+Assumptions!$B$8),1)</f>
        <v>0</v>
      </c>
      <c r="K20" s="15" t="s">
        <v>306</v>
      </c>
    </row>
    <row r="21" customFormat="false" ht="15" hidden="false" customHeight="false" outlineLevel="0" collapsed="false">
      <c r="A21" s="5" t="s">
        <v>307</v>
      </c>
      <c r="B21" s="5" t="s">
        <v>308</v>
      </c>
      <c r="C21" s="42" t="s">
        <v>282</v>
      </c>
      <c r="D21" s="43" t="s">
        <v>273</v>
      </c>
      <c r="E21" s="44" t="n">
        <v>0</v>
      </c>
      <c r="F21" s="44" t="n">
        <v>300</v>
      </c>
      <c r="G21" s="44" t="n">
        <v>1500</v>
      </c>
      <c r="H21" s="26" t="n">
        <f aca="false">E21*IF($D21="USD",Assumptions!$B$6*(1+Assumptions!$B$8),1)</f>
        <v>0</v>
      </c>
      <c r="I21" s="26" t="n">
        <f aca="false">F21*IF($D21="USD",Assumptions!$B$6*(1+Assumptions!$B$8),1)</f>
        <v>300</v>
      </c>
      <c r="J21" s="26" t="n">
        <f aca="false">G21*IF($D21="USD",Assumptions!$B$6*(1+Assumptions!$B$8),1)</f>
        <v>1500</v>
      </c>
      <c r="K21" s="15" t="s">
        <v>309</v>
      </c>
    </row>
    <row r="23" customFormat="false" ht="15" hidden="false" customHeight="false" outlineLevel="0" collapsed="false">
      <c r="A23" s="7" t="s">
        <v>310</v>
      </c>
      <c r="H23" s="45" t="n">
        <f aca="false">SUMIFS(H5:H21,$C$5:$C$21,"Y")</f>
        <v>418.921</v>
      </c>
      <c r="I23" s="45" t="n">
        <f aca="false">SUMIFS(I5:I21,$C$5:$C$21,"Y")</f>
        <v>979.327</v>
      </c>
      <c r="J23" s="45" t="n">
        <f aca="false">SUMIFS(J5:J21,$C$5:$C$21,"Y")</f>
        <v>2250.139</v>
      </c>
    </row>
    <row r="24" customFormat="false" ht="15" hidden="false" customHeight="false" outlineLevel="0" collapsed="false">
      <c r="A24" s="7" t="s">
        <v>311</v>
      </c>
      <c r="H24" s="45" t="n">
        <f aca="false">SUM(H5:H21)</f>
        <v>2318.921</v>
      </c>
      <c r="I24" s="45" t="n">
        <f aca="false">SUM(I5:I21)</f>
        <v>3729.327</v>
      </c>
      <c r="J24" s="45" t="n">
        <f aca="false">SUM(J5:J21)</f>
        <v>8250.139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3" min="2" style="0" width="11"/>
    <col collapsed="false" customWidth="true" hidden="false" outlineLevel="0" max="8" min="4" style="0" width="9"/>
    <col collapsed="false" customWidth="true" hidden="false" outlineLevel="0" max="11" min="9" style="0" width="13"/>
    <col collapsed="false" customWidth="true" hidden="false" outlineLevel="0" max="12" min="12" style="0" width="95"/>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13" t="s">
        <v>260</v>
      </c>
      <c r="B4" s="13" t="s">
        <v>261</v>
      </c>
      <c r="C4" s="13" t="s">
        <v>262</v>
      </c>
      <c r="D4" s="13" t="s">
        <v>263</v>
      </c>
      <c r="E4" s="13" t="s">
        <v>314</v>
      </c>
      <c r="F4" s="13" t="s">
        <v>315</v>
      </c>
      <c r="G4" s="13" t="s">
        <v>316</v>
      </c>
      <c r="H4" s="13" t="s">
        <v>317</v>
      </c>
      <c r="I4" s="13" t="s">
        <v>318</v>
      </c>
      <c r="J4" s="13" t="s">
        <v>319</v>
      </c>
      <c r="K4" s="13" t="s">
        <v>320</v>
      </c>
      <c r="L4" s="13" t="s">
        <v>270</v>
      </c>
    </row>
    <row r="5" customFormat="false" ht="15" hidden="false" customHeight="false" outlineLevel="0" collapsed="false">
      <c r="A5" s="5" t="s">
        <v>321</v>
      </c>
      <c r="B5" s="5" t="s">
        <v>322</v>
      </c>
      <c r="C5" s="42" t="s">
        <v>87</v>
      </c>
      <c r="D5" s="43" t="s">
        <v>296</v>
      </c>
      <c r="E5" s="43" t="s">
        <v>323</v>
      </c>
      <c r="F5" s="44" t="n">
        <v>7</v>
      </c>
      <c r="G5" s="44" t="n">
        <v>25</v>
      </c>
      <c r="H5" s="44" t="n">
        <v>85</v>
      </c>
      <c r="I5" s="26" t="n">
        <f aca="false">F5*IF($D5="USD",Assumptions!$B$6*(1+Assumptions!$B$8),1)/IF($E5="year",12,1)</f>
        <v>7.2842</v>
      </c>
      <c r="J5" s="26" t="n">
        <f aca="false">G5*IF($D5="USD",Assumptions!$B$6*(1+Assumptions!$B$8),1)/IF($E5="year",12,1)</f>
        <v>26.015</v>
      </c>
      <c r="K5" s="26" t="n">
        <f aca="false">H5*IF($D5="USD",Assumptions!$B$6*(1+Assumptions!$B$8),1)/IF($E5="year",12,1)</f>
        <v>88.451</v>
      </c>
      <c r="L5" s="15" t="s">
        <v>324</v>
      </c>
    </row>
    <row r="6" customFormat="false" ht="15" hidden="false" customHeight="false" outlineLevel="0" collapsed="false">
      <c r="A6" s="5" t="s">
        <v>325</v>
      </c>
      <c r="B6" s="5" t="s">
        <v>322</v>
      </c>
      <c r="C6" s="42" t="s">
        <v>87</v>
      </c>
      <c r="D6" s="43" t="s">
        <v>296</v>
      </c>
      <c r="E6" s="43" t="s">
        <v>323</v>
      </c>
      <c r="F6" s="44" t="n">
        <v>0.25</v>
      </c>
      <c r="G6" s="44" t="n">
        <v>1.25</v>
      </c>
      <c r="H6" s="44" t="n">
        <v>5</v>
      </c>
      <c r="I6" s="26" t="n">
        <f aca="false">F6*IF($D6="USD",Assumptions!$B$6*(1+Assumptions!$B$8),1)/IF($E6="year",12,1)</f>
        <v>0.26015</v>
      </c>
      <c r="J6" s="26" t="n">
        <f aca="false">G6*IF($D6="USD",Assumptions!$B$6*(1+Assumptions!$B$8),1)/IF($E6="year",12,1)</f>
        <v>1.30075</v>
      </c>
      <c r="K6" s="26" t="n">
        <f aca="false">H6*IF($D6="USD",Assumptions!$B$6*(1+Assumptions!$B$8),1)/IF($E6="year",12,1)</f>
        <v>5.203</v>
      </c>
      <c r="L6" s="15" t="s">
        <v>326</v>
      </c>
    </row>
    <row r="7" customFormat="false" ht="15" hidden="false" customHeight="false" outlineLevel="0" collapsed="false">
      <c r="A7" s="5" t="s">
        <v>327</v>
      </c>
      <c r="B7" s="5" t="s">
        <v>322</v>
      </c>
      <c r="C7" s="42" t="s">
        <v>87</v>
      </c>
      <c r="D7" s="43" t="s">
        <v>296</v>
      </c>
      <c r="E7" s="43" t="s">
        <v>323</v>
      </c>
      <c r="F7" s="44" t="n">
        <v>7</v>
      </c>
      <c r="G7" s="44" t="n">
        <v>25</v>
      </c>
      <c r="H7" s="44" t="n">
        <v>25</v>
      </c>
      <c r="I7" s="26" t="n">
        <f aca="false">F7*IF($D7="USD",Assumptions!$B$6*(1+Assumptions!$B$8),1)/IF($E7="year",12,1)</f>
        <v>7.2842</v>
      </c>
      <c r="J7" s="26" t="n">
        <f aca="false">G7*IF($D7="USD",Assumptions!$B$6*(1+Assumptions!$B$8),1)/IF($E7="year",12,1)</f>
        <v>26.015</v>
      </c>
      <c r="K7" s="26" t="n">
        <f aca="false">H7*IF($D7="USD",Assumptions!$B$6*(1+Assumptions!$B$8),1)/IF($E7="year",12,1)</f>
        <v>26.015</v>
      </c>
      <c r="L7" s="15" t="s">
        <v>328</v>
      </c>
    </row>
    <row r="8" customFormat="false" ht="15" hidden="false" customHeight="false" outlineLevel="0" collapsed="false">
      <c r="A8" s="5" t="s">
        <v>329</v>
      </c>
      <c r="B8" s="5" t="s">
        <v>322</v>
      </c>
      <c r="C8" s="42" t="s">
        <v>87</v>
      </c>
      <c r="D8" s="43" t="s">
        <v>296</v>
      </c>
      <c r="E8" s="43" t="s">
        <v>323</v>
      </c>
      <c r="F8" s="44" t="n">
        <v>0</v>
      </c>
      <c r="G8" s="44" t="n">
        <v>0</v>
      </c>
      <c r="H8" s="44" t="n">
        <v>19</v>
      </c>
      <c r="I8" s="26" t="n">
        <f aca="false">F8*IF($D8="USD",Assumptions!$B$6*(1+Assumptions!$B$8),1)/IF($E8="year",12,1)</f>
        <v>0</v>
      </c>
      <c r="J8" s="26" t="n">
        <f aca="false">G8*IF($D8="USD",Assumptions!$B$6*(1+Assumptions!$B$8),1)/IF($E8="year",12,1)</f>
        <v>0</v>
      </c>
      <c r="K8" s="26" t="n">
        <f aca="false">H8*IF($D8="USD",Assumptions!$B$6*(1+Assumptions!$B$8),1)/IF($E8="year",12,1)</f>
        <v>19.7714</v>
      </c>
      <c r="L8" s="15" t="s">
        <v>330</v>
      </c>
    </row>
    <row r="9" customFormat="false" ht="15" hidden="false" customHeight="false" outlineLevel="0" collapsed="false">
      <c r="A9" s="5" t="s">
        <v>331</v>
      </c>
      <c r="B9" s="5" t="s">
        <v>322</v>
      </c>
      <c r="C9" s="42" t="s">
        <v>87</v>
      </c>
      <c r="D9" s="43" t="s">
        <v>296</v>
      </c>
      <c r="E9" s="43" t="s">
        <v>323</v>
      </c>
      <c r="F9" s="44" t="n">
        <v>20</v>
      </c>
      <c r="G9" s="44" t="n">
        <v>20</v>
      </c>
      <c r="H9" s="44" t="n">
        <v>20</v>
      </c>
      <c r="I9" s="26" t="n">
        <f aca="false">F9*IF($D9="USD",Assumptions!$B$6*(1+Assumptions!$B$8),1)/IF($E9="year",12,1)</f>
        <v>20.812</v>
      </c>
      <c r="J9" s="26" t="n">
        <f aca="false">G9*IF($D9="USD",Assumptions!$B$6*(1+Assumptions!$B$8),1)/IF($E9="year",12,1)</f>
        <v>20.812</v>
      </c>
      <c r="K9" s="26" t="n">
        <f aca="false">H9*IF($D9="USD",Assumptions!$B$6*(1+Assumptions!$B$8),1)/IF($E9="year",12,1)</f>
        <v>20.812</v>
      </c>
      <c r="L9" s="15" t="s">
        <v>332</v>
      </c>
    </row>
    <row r="10" customFormat="false" ht="26.85" hidden="false" customHeight="false" outlineLevel="0" collapsed="false">
      <c r="A10" s="5" t="s">
        <v>333</v>
      </c>
      <c r="B10" s="5" t="s">
        <v>322</v>
      </c>
      <c r="C10" s="42" t="s">
        <v>87</v>
      </c>
      <c r="D10" s="43" t="s">
        <v>296</v>
      </c>
      <c r="E10" s="43" t="s">
        <v>323</v>
      </c>
      <c r="F10" s="44" t="n">
        <v>25</v>
      </c>
      <c r="G10" s="44" t="n">
        <v>30</v>
      </c>
      <c r="H10" s="44" t="n">
        <v>75</v>
      </c>
      <c r="I10" s="26" t="n">
        <f aca="false">F10*IF($D10="USD",Assumptions!$B$6*(1+Assumptions!$B$8),1)/IF($E10="year",12,1)</f>
        <v>26.015</v>
      </c>
      <c r="J10" s="26" t="n">
        <f aca="false">G10*IF($D10="USD",Assumptions!$B$6*(1+Assumptions!$B$8),1)/IF($E10="year",12,1)</f>
        <v>31.218</v>
      </c>
      <c r="K10" s="26" t="n">
        <f aca="false">H10*IF($D10="USD",Assumptions!$B$6*(1+Assumptions!$B$8),1)/IF($E10="year",12,1)</f>
        <v>78.045</v>
      </c>
      <c r="L10" s="15" t="s">
        <v>334</v>
      </c>
    </row>
    <row r="11" customFormat="false" ht="15" hidden="false" customHeight="false" outlineLevel="0" collapsed="false">
      <c r="A11" s="5" t="s">
        <v>335</v>
      </c>
      <c r="B11" s="5" t="s">
        <v>322</v>
      </c>
      <c r="C11" s="42" t="s">
        <v>87</v>
      </c>
      <c r="D11" s="43" t="s">
        <v>296</v>
      </c>
      <c r="E11" s="43" t="s">
        <v>323</v>
      </c>
      <c r="F11" s="44" t="n">
        <v>0</v>
      </c>
      <c r="G11" s="44" t="n">
        <v>20</v>
      </c>
      <c r="H11" s="44" t="n">
        <v>20</v>
      </c>
      <c r="I11" s="26" t="n">
        <f aca="false">F11*IF($D11="USD",Assumptions!$B$6*(1+Assumptions!$B$8),1)/IF($E11="year",12,1)</f>
        <v>0</v>
      </c>
      <c r="J11" s="26" t="n">
        <f aca="false">G11*IF($D11="USD",Assumptions!$B$6*(1+Assumptions!$B$8),1)/IF($E11="year",12,1)</f>
        <v>20.812</v>
      </c>
      <c r="K11" s="26" t="n">
        <f aca="false">H11*IF($D11="USD",Assumptions!$B$6*(1+Assumptions!$B$8),1)/IF($E11="year",12,1)</f>
        <v>20.812</v>
      </c>
      <c r="L11" s="15" t="s">
        <v>336</v>
      </c>
    </row>
    <row r="12" customFormat="false" ht="15" hidden="false" customHeight="false" outlineLevel="0" collapsed="false">
      <c r="A12" s="5" t="s">
        <v>337</v>
      </c>
      <c r="B12" s="5" t="s">
        <v>322</v>
      </c>
      <c r="C12" s="42" t="s">
        <v>87</v>
      </c>
      <c r="D12" s="43" t="s">
        <v>296</v>
      </c>
      <c r="E12" s="43" t="s">
        <v>323</v>
      </c>
      <c r="F12" s="44" t="n">
        <v>0</v>
      </c>
      <c r="G12" s="44" t="n">
        <v>0</v>
      </c>
      <c r="H12" s="44" t="n">
        <v>26</v>
      </c>
      <c r="I12" s="26" t="n">
        <f aca="false">F12*IF($D12="USD",Assumptions!$B$6*(1+Assumptions!$B$8),1)/IF($E12="year",12,1)</f>
        <v>0</v>
      </c>
      <c r="J12" s="26" t="n">
        <f aca="false">G12*IF($D12="USD",Assumptions!$B$6*(1+Assumptions!$B$8),1)/IF($E12="year",12,1)</f>
        <v>0</v>
      </c>
      <c r="K12" s="26" t="n">
        <f aca="false">H12*IF($D12="USD",Assumptions!$B$6*(1+Assumptions!$B$8),1)/IF($E12="year",12,1)</f>
        <v>27.0556</v>
      </c>
      <c r="L12" s="15" t="s">
        <v>338</v>
      </c>
    </row>
    <row r="13" customFormat="false" ht="15" hidden="false" customHeight="false" outlineLevel="0" collapsed="false">
      <c r="A13" s="5" t="s">
        <v>339</v>
      </c>
      <c r="B13" s="5" t="s">
        <v>340</v>
      </c>
      <c r="C13" s="42" t="s">
        <v>87</v>
      </c>
      <c r="D13" s="43" t="s">
        <v>296</v>
      </c>
      <c r="E13" s="43" t="s">
        <v>323</v>
      </c>
      <c r="F13" s="44" t="n">
        <v>2</v>
      </c>
      <c r="G13" s="44" t="n">
        <v>5</v>
      </c>
      <c r="H13" s="44" t="n">
        <v>10</v>
      </c>
      <c r="I13" s="26" t="n">
        <f aca="false">F13*IF($D13="USD",Assumptions!$B$6*(1+Assumptions!$B$8),1)/IF($E13="year",12,1)</f>
        <v>2.0812</v>
      </c>
      <c r="J13" s="26" t="n">
        <f aca="false">G13*IF($D13="USD",Assumptions!$B$6*(1+Assumptions!$B$8),1)/IF($E13="year",12,1)</f>
        <v>5.203</v>
      </c>
      <c r="K13" s="26" t="n">
        <f aca="false">H13*IF($D13="USD",Assumptions!$B$6*(1+Assumptions!$B$8),1)/IF($E13="year",12,1)</f>
        <v>10.406</v>
      </c>
      <c r="L13" s="15" t="s">
        <v>341</v>
      </c>
    </row>
    <row r="14" customFormat="false" ht="26.85" hidden="false" customHeight="false" outlineLevel="0" collapsed="false">
      <c r="A14" s="5" t="s">
        <v>342</v>
      </c>
      <c r="B14" s="5" t="s">
        <v>340</v>
      </c>
      <c r="C14" s="42" t="s">
        <v>282</v>
      </c>
      <c r="D14" s="43" t="s">
        <v>296</v>
      </c>
      <c r="E14" s="43" t="s">
        <v>323</v>
      </c>
      <c r="F14" s="44" t="n">
        <v>3.5</v>
      </c>
      <c r="G14" s="44" t="n">
        <v>7</v>
      </c>
      <c r="H14" s="44" t="n">
        <v>14</v>
      </c>
      <c r="I14" s="26" t="n">
        <f aca="false">F14*IF($D14="USD",Assumptions!$B$6*(1+Assumptions!$B$8),1)/IF($E14="year",12,1)</f>
        <v>3.6421</v>
      </c>
      <c r="J14" s="26" t="n">
        <f aca="false">G14*IF($D14="USD",Assumptions!$B$6*(1+Assumptions!$B$8),1)/IF($E14="year",12,1)</f>
        <v>7.2842</v>
      </c>
      <c r="K14" s="26" t="n">
        <f aca="false">H14*IF($D14="USD",Assumptions!$B$6*(1+Assumptions!$B$8),1)/IF($E14="year",12,1)</f>
        <v>14.5684</v>
      </c>
      <c r="L14" s="15" t="s">
        <v>343</v>
      </c>
    </row>
    <row r="15" customFormat="false" ht="15" hidden="false" customHeight="false" outlineLevel="0" collapsed="false">
      <c r="A15" s="5" t="s">
        <v>344</v>
      </c>
      <c r="B15" s="5" t="s">
        <v>345</v>
      </c>
      <c r="C15" s="42" t="s">
        <v>87</v>
      </c>
      <c r="D15" s="43" t="s">
        <v>296</v>
      </c>
      <c r="E15" s="43" t="s">
        <v>346</v>
      </c>
      <c r="F15" s="44" t="n">
        <v>15</v>
      </c>
      <c r="G15" s="44" t="n">
        <v>15</v>
      </c>
      <c r="H15" s="44" t="n">
        <v>15</v>
      </c>
      <c r="I15" s="26" t="n">
        <f aca="false">F15*IF($D15="USD",Assumptions!$B$6*(1+Assumptions!$B$8),1)/IF($E15="year",12,1)</f>
        <v>1.30075</v>
      </c>
      <c r="J15" s="26" t="n">
        <f aca="false">G15*IF($D15="USD",Assumptions!$B$6*(1+Assumptions!$B$8),1)/IF($E15="year",12,1)</f>
        <v>1.30075</v>
      </c>
      <c r="K15" s="26" t="n">
        <f aca="false">H15*IF($D15="USD",Assumptions!$B$6*(1+Assumptions!$B$8),1)/IF($E15="year",12,1)</f>
        <v>1.30075</v>
      </c>
      <c r="L15" s="15" t="s">
        <v>347</v>
      </c>
    </row>
    <row r="16" customFormat="false" ht="15" hidden="false" customHeight="false" outlineLevel="0" collapsed="false">
      <c r="A16" s="5" t="s">
        <v>348</v>
      </c>
      <c r="B16" s="5" t="s">
        <v>345</v>
      </c>
      <c r="C16" s="42" t="s">
        <v>87</v>
      </c>
      <c r="D16" s="43" t="s">
        <v>273</v>
      </c>
      <c r="E16" s="43" t="s">
        <v>323</v>
      </c>
      <c r="F16" s="44" t="n">
        <v>0</v>
      </c>
      <c r="G16" s="44" t="n">
        <v>0</v>
      </c>
      <c r="H16" s="44" t="n">
        <v>7</v>
      </c>
      <c r="I16" s="26" t="n">
        <f aca="false">F16*IF($D16="USD",Assumptions!$B$6*(1+Assumptions!$B$8),1)/IF($E16="year",12,1)</f>
        <v>0</v>
      </c>
      <c r="J16" s="26" t="n">
        <f aca="false">G16*IF($D16="USD",Assumptions!$B$6*(1+Assumptions!$B$8),1)/IF($E16="year",12,1)</f>
        <v>0</v>
      </c>
      <c r="K16" s="26" t="n">
        <f aca="false">H16*IF($D16="USD",Assumptions!$B$6*(1+Assumptions!$B$8),1)/IF($E16="year",12,1)</f>
        <v>7</v>
      </c>
      <c r="L16" s="15" t="s">
        <v>349</v>
      </c>
    </row>
    <row r="17" customFormat="false" ht="15" hidden="false" customHeight="false" outlineLevel="0" collapsed="false">
      <c r="A17" s="5" t="s">
        <v>350</v>
      </c>
      <c r="B17" s="5" t="s">
        <v>351</v>
      </c>
      <c r="C17" s="42" t="s">
        <v>87</v>
      </c>
      <c r="D17" s="43" t="s">
        <v>296</v>
      </c>
      <c r="E17" s="43" t="s">
        <v>346</v>
      </c>
      <c r="F17" s="44" t="n">
        <v>99</v>
      </c>
      <c r="G17" s="44" t="n">
        <v>99</v>
      </c>
      <c r="H17" s="44" t="n">
        <v>99</v>
      </c>
      <c r="I17" s="26" t="n">
        <f aca="false">F17*IF($D17="USD",Assumptions!$B$6*(1+Assumptions!$B$8),1)/IF($E17="year",12,1)</f>
        <v>8.58495</v>
      </c>
      <c r="J17" s="26" t="n">
        <f aca="false">G17*IF($D17="USD",Assumptions!$B$6*(1+Assumptions!$B$8),1)/IF($E17="year",12,1)</f>
        <v>8.58495</v>
      </c>
      <c r="K17" s="26" t="n">
        <f aca="false">H17*IF($D17="USD",Assumptions!$B$6*(1+Assumptions!$B$8),1)/IF($E17="year",12,1)</f>
        <v>8.58495</v>
      </c>
      <c r="L17" s="15" t="s">
        <v>352</v>
      </c>
    </row>
    <row r="18" customFormat="false" ht="26.85" hidden="false" customHeight="false" outlineLevel="0" collapsed="false">
      <c r="A18" s="5" t="s">
        <v>353</v>
      </c>
      <c r="B18" s="5" t="s">
        <v>354</v>
      </c>
      <c r="C18" s="42" t="s">
        <v>87</v>
      </c>
      <c r="D18" s="43" t="s">
        <v>273</v>
      </c>
      <c r="E18" s="43" t="s">
        <v>323</v>
      </c>
      <c r="F18" s="44" t="n">
        <v>50</v>
      </c>
      <c r="G18" s="44" t="n">
        <v>100</v>
      </c>
      <c r="H18" s="44" t="n">
        <v>200</v>
      </c>
      <c r="I18" s="26" t="n">
        <f aca="false">F18*IF($D18="USD",Assumptions!$B$6*(1+Assumptions!$B$8),1)/IF($E18="year",12,1)</f>
        <v>50</v>
      </c>
      <c r="J18" s="26" t="n">
        <f aca="false">G18*IF($D18="USD",Assumptions!$B$6*(1+Assumptions!$B$8),1)/IF($E18="year",12,1)</f>
        <v>100</v>
      </c>
      <c r="K18" s="26" t="n">
        <f aca="false">H18*IF($D18="USD",Assumptions!$B$6*(1+Assumptions!$B$8),1)/IF($E18="year",12,1)</f>
        <v>200</v>
      </c>
      <c r="L18" s="15" t="s">
        <v>355</v>
      </c>
    </row>
    <row r="19" customFormat="false" ht="15" hidden="false" customHeight="false" outlineLevel="0" collapsed="false">
      <c r="A19" s="5" t="s">
        <v>356</v>
      </c>
      <c r="B19" s="5" t="s">
        <v>354</v>
      </c>
      <c r="C19" s="42" t="s">
        <v>87</v>
      </c>
      <c r="D19" s="43" t="s">
        <v>273</v>
      </c>
      <c r="E19" s="43" t="s">
        <v>323</v>
      </c>
      <c r="F19" s="44" t="n">
        <v>5</v>
      </c>
      <c r="G19" s="44" t="n">
        <v>10</v>
      </c>
      <c r="H19" s="44" t="n">
        <v>15</v>
      </c>
      <c r="I19" s="26" t="n">
        <f aca="false">F19*IF($D19="USD",Assumptions!$B$6*(1+Assumptions!$B$8),1)/IF($E19="year",12,1)</f>
        <v>5</v>
      </c>
      <c r="J19" s="26" t="n">
        <f aca="false">G19*IF($D19="USD",Assumptions!$B$6*(1+Assumptions!$B$8),1)/IF($E19="year",12,1)</f>
        <v>10</v>
      </c>
      <c r="K19" s="26" t="n">
        <f aca="false">H19*IF($D19="USD",Assumptions!$B$6*(1+Assumptions!$B$8),1)/IF($E19="year",12,1)</f>
        <v>15</v>
      </c>
      <c r="L19" s="15" t="s">
        <v>357</v>
      </c>
    </row>
    <row r="20" customFormat="false" ht="15" hidden="false" customHeight="false" outlineLevel="0" collapsed="false">
      <c r="A20" s="5" t="s">
        <v>358</v>
      </c>
      <c r="B20" s="5" t="s">
        <v>354</v>
      </c>
      <c r="C20" s="42" t="s">
        <v>282</v>
      </c>
      <c r="D20" s="43" t="s">
        <v>273</v>
      </c>
      <c r="E20" s="43" t="s">
        <v>323</v>
      </c>
      <c r="F20" s="44" t="n">
        <v>0</v>
      </c>
      <c r="G20" s="44" t="n">
        <v>25</v>
      </c>
      <c r="H20" s="44" t="n">
        <v>40</v>
      </c>
      <c r="I20" s="26" t="n">
        <f aca="false">F20*IF($D20="USD",Assumptions!$B$6*(1+Assumptions!$B$8),1)/IF($E20="year",12,1)</f>
        <v>0</v>
      </c>
      <c r="J20" s="26" t="n">
        <f aca="false">G20*IF($D20="USD",Assumptions!$B$6*(1+Assumptions!$B$8),1)/IF($E20="year",12,1)</f>
        <v>25</v>
      </c>
      <c r="K20" s="26" t="n">
        <f aca="false">H20*IF($D20="USD",Assumptions!$B$6*(1+Assumptions!$B$8),1)/IF($E20="year",12,1)</f>
        <v>40</v>
      </c>
      <c r="L20" s="15" t="s">
        <v>359</v>
      </c>
    </row>
    <row r="21" customFormat="false" ht="15" hidden="false" customHeight="false" outlineLevel="0" collapsed="false">
      <c r="A21" s="5" t="s">
        <v>360</v>
      </c>
      <c r="B21" s="5" t="s">
        <v>354</v>
      </c>
      <c r="C21" s="42" t="s">
        <v>87</v>
      </c>
      <c r="D21" s="43" t="s">
        <v>296</v>
      </c>
      <c r="E21" s="43" t="s">
        <v>323</v>
      </c>
      <c r="F21" s="46" t="n">
        <v>100</v>
      </c>
      <c r="G21" s="46" t="n">
        <v>100</v>
      </c>
      <c r="H21" s="46" t="n">
        <v>200</v>
      </c>
      <c r="I21" s="26" t="n">
        <f aca="false">F21*IF($D21="USD",Assumptions!$B$6*(1+Assumptions!$B$8),1)/IF($E21="year",12,1)</f>
        <v>104.06</v>
      </c>
      <c r="J21" s="26" t="n">
        <f aca="false">G21*IF($D21="USD",Assumptions!$B$6*(1+Assumptions!$B$8),1)/IF($E21="year",12,1)</f>
        <v>104.06</v>
      </c>
      <c r="K21" s="26" t="n">
        <f aca="false">H21*IF($D21="USD",Assumptions!$B$6*(1+Assumptions!$B$8),1)/IF($E21="year",12,1)</f>
        <v>208.12</v>
      </c>
      <c r="L21" s="15" t="s">
        <v>361</v>
      </c>
    </row>
    <row r="22" customFormat="false" ht="15" hidden="false" customHeight="false" outlineLevel="0" collapsed="false">
      <c r="A22" s="5" t="s">
        <v>362</v>
      </c>
      <c r="B22" s="5" t="s">
        <v>308</v>
      </c>
      <c r="C22" s="42" t="s">
        <v>282</v>
      </c>
      <c r="D22" s="43" t="s">
        <v>273</v>
      </c>
      <c r="E22" s="43" t="s">
        <v>323</v>
      </c>
      <c r="F22" s="44" t="n">
        <v>0</v>
      </c>
      <c r="G22" s="44" t="n">
        <v>200</v>
      </c>
      <c r="H22" s="44" t="n">
        <v>1000</v>
      </c>
      <c r="I22" s="26" t="n">
        <f aca="false">F22*IF($D22="USD",Assumptions!$B$6*(1+Assumptions!$B$8),1)/IF($E22="year",12,1)</f>
        <v>0</v>
      </c>
      <c r="J22" s="26" t="n">
        <f aca="false">G22*IF($D22="USD",Assumptions!$B$6*(1+Assumptions!$B$8),1)/IF($E22="year",12,1)</f>
        <v>200</v>
      </c>
      <c r="K22" s="26" t="n">
        <f aca="false">H22*IF($D22="USD",Assumptions!$B$6*(1+Assumptions!$B$8),1)/IF($E22="year",12,1)</f>
        <v>1000</v>
      </c>
      <c r="L22" s="15" t="s">
        <v>363</v>
      </c>
    </row>
    <row r="24" customFormat="false" ht="15" hidden="false" customHeight="false" outlineLevel="0" collapsed="false">
      <c r="A24" s="7" t="s">
        <v>364</v>
      </c>
      <c r="I24" s="45" t="n">
        <f aca="false">SUMIFS(I5:I22,$C$5:$C$22,"Y")</f>
        <v>232.68245</v>
      </c>
      <c r="J24" s="45" t="n">
        <f aca="false">SUMIFS(J5:J22,$C$5:$C$22,"Y")</f>
        <v>355.32145</v>
      </c>
      <c r="K24" s="45" t="n">
        <f aca="false">SUMIFS(K5:K22,$C$5:$C$22,"Y")</f>
        <v>736.5767</v>
      </c>
    </row>
    <row r="25" customFormat="false" ht="15" hidden="false" customHeight="false" outlineLevel="0" collapsed="false">
      <c r="A25" s="7" t="s">
        <v>365</v>
      </c>
      <c r="I25" s="45" t="n">
        <f aca="false">I24*12</f>
        <v>2792.1894</v>
      </c>
      <c r="J25" s="45" t="n">
        <f aca="false">J24*12</f>
        <v>4263.8574</v>
      </c>
      <c r="K25" s="45" t="n">
        <f aca="false">K24*12</f>
        <v>8838.9204</v>
      </c>
    </row>
    <row r="26" customFormat="false" ht="15" hidden="false" customHeight="false" outlineLevel="0" collapsed="false">
      <c r="A26" s="7" t="s">
        <v>366</v>
      </c>
      <c r="I26" s="45" t="n">
        <f aca="false">SUM(I5:I22)</f>
        <v>236.32455</v>
      </c>
      <c r="J26" s="45" t="n">
        <f aca="false">SUM(J5:J22)</f>
        <v>587.60565</v>
      </c>
      <c r="K26" s="45" t="n">
        <f aca="false">SUM(K5:K22)</f>
        <v>1791.1451</v>
      </c>
    </row>
    <row r="28" customFormat="false" ht="15" hidden="false" customHeight="false" outlineLevel="0" collapsed="false">
      <c r="A28" s="25"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19" min="3" style="0" width="13"/>
  </cols>
  <sheetData>
    <row r="1" customFormat="false" ht="17.35" hidden="false" customHeight="false" outlineLevel="0" collapsed="false">
      <c r="A1" s="1" t="s">
        <v>368</v>
      </c>
    </row>
    <row r="2" customFormat="false" ht="15" hidden="false" customHeight="false" outlineLevel="0" collapsed="false">
      <c r="A2" s="2" t="s">
        <v>369</v>
      </c>
    </row>
    <row r="4" customFormat="false" ht="57.75" hidden="false" customHeight="true" outlineLevel="0" collapsed="false">
      <c r="A4" s="13" t="s">
        <v>129</v>
      </c>
      <c r="B4" s="13" t="s">
        <v>130</v>
      </c>
      <c r="C4" s="13" t="s">
        <v>370</v>
      </c>
      <c r="D4" s="13" t="s">
        <v>371</v>
      </c>
      <c r="E4" s="13" t="s">
        <v>372</v>
      </c>
      <c r="F4" s="13" t="s">
        <v>373</v>
      </c>
      <c r="G4" s="13" t="s">
        <v>374</v>
      </c>
      <c r="H4" s="13" t="s">
        <v>375</v>
      </c>
      <c r="I4" s="13" t="s">
        <v>376</v>
      </c>
      <c r="J4" s="13" t="s">
        <v>377</v>
      </c>
      <c r="K4" s="13" t="s">
        <v>378</v>
      </c>
      <c r="L4" s="13" t="s">
        <v>379</v>
      </c>
      <c r="M4" s="13" t="s">
        <v>380</v>
      </c>
      <c r="N4" s="13" t="s">
        <v>381</v>
      </c>
      <c r="O4" s="13" t="s">
        <v>382</v>
      </c>
      <c r="P4" s="13" t="s">
        <v>383</v>
      </c>
      <c r="Q4" s="13" t="s">
        <v>384</v>
      </c>
      <c r="R4" s="13" t="s">
        <v>385</v>
      </c>
      <c r="S4" s="13" t="s">
        <v>386</v>
      </c>
    </row>
    <row r="5" customFormat="false" ht="15" hidden="false" customHeight="false" outlineLevel="0" collapsed="false">
      <c r="A5" s="5" t="s">
        <v>137</v>
      </c>
      <c r="B5" s="5" t="s">
        <v>138</v>
      </c>
      <c r="C5" s="6" t="n">
        <f aca="false">Assumptions!$B$10*Pricing!$D$39</f>
        <v>8.0011</v>
      </c>
      <c r="D5" s="43" t="n">
        <v>1</v>
      </c>
      <c r="E5" s="47" t="n">
        <f aca="false">1/D5</f>
        <v>1</v>
      </c>
      <c r="F5" s="26" t="n">
        <f aca="false">C5/D5</f>
        <v>8.0011</v>
      </c>
      <c r="G5" s="26" t="n">
        <f aca="false">F5-H5</f>
        <v>1.38862066115702</v>
      </c>
      <c r="H5" s="26" t="n">
        <f aca="false">F5/(1+Assumptions!$B$7)</f>
        <v>6.61247933884298</v>
      </c>
      <c r="I5" s="26" t="n">
        <f aca="false">H5*Assumptions!$B$21</f>
        <v>0.991871900826446</v>
      </c>
      <c r="J5" s="26" t="n">
        <f aca="false">F5*(Assumptions!$B$22+Assumptions!$B$24)+Assumptions!$B$23*E5</f>
        <v>0.4260242</v>
      </c>
      <c r="K5" s="26" t="n">
        <f aca="false">Assumptions!$B$19*I5+(1-Assumptions!$B$19)*J5</f>
        <v>0.765532820495868</v>
      </c>
      <c r="L5" s="26" t="n">
        <f aca="false">H5-K5</f>
        <v>5.84694651834711</v>
      </c>
      <c r="M5" s="26" t="n">
        <f aca="false">Assumptions!$B$31*Assumptions!$B$6*(1+Assumptions!$B$8)</f>
        <v>0.280962</v>
      </c>
      <c r="N5" s="26" t="n">
        <f aca="false">Assumptions!$B$36</f>
        <v>0.02</v>
      </c>
      <c r="O5" s="26" t="n">
        <f aca="false">L5-M5-N5</f>
        <v>5.54598451834711</v>
      </c>
      <c r="P5" s="27" t="n">
        <f aca="false">IF(F5=0,0,O5/F5)</f>
        <v>0.693152756289399</v>
      </c>
      <c r="Q5" s="26" t="n">
        <f aca="false">Assumptions!$B$32*Assumptions!$B$6*(1+Assumptions!$B$8)</f>
        <v>2.5913942131</v>
      </c>
      <c r="R5" s="26" t="n">
        <f aca="false">L5-Q5-N5</f>
        <v>3.23555230524711</v>
      </c>
    </row>
    <row r="6" customFormat="false" ht="15" hidden="false" customHeight="false" outlineLevel="0" collapsed="false">
      <c r="A6" s="5" t="s">
        <v>137</v>
      </c>
      <c r="B6" s="5" t="s">
        <v>139</v>
      </c>
      <c r="C6" s="6" t="n">
        <f aca="false">Assumptions!$B$11*Pricing!$D$39</f>
        <v>53.3911</v>
      </c>
      <c r="D6" s="43" t="n">
        <v>12</v>
      </c>
      <c r="E6" s="47" t="n">
        <f aca="false">1/D6</f>
        <v>0.0833333333333333</v>
      </c>
      <c r="F6" s="26" t="n">
        <f aca="false">C6/D6</f>
        <v>4.44925833333333</v>
      </c>
      <c r="G6" s="26" t="n">
        <f aca="false">F6-H6</f>
        <v>0.772185330578512</v>
      </c>
      <c r="H6" s="26" t="n">
        <f aca="false">F6/(1+Assumptions!$B$7)</f>
        <v>3.67707300275482</v>
      </c>
      <c r="I6" s="26" t="n">
        <f aca="false">H6*Assumptions!$B$21</f>
        <v>0.551560950413223</v>
      </c>
      <c r="J6" s="26" t="n">
        <f aca="false">F6*(Assumptions!$B$22+Assumptions!$B$24)+Assumptions!$B$23*E6</f>
        <v>0.118717016666667</v>
      </c>
      <c r="K6" s="26" t="n">
        <f aca="false">Assumptions!$B$19*I6+(1-Assumptions!$B$19)*J6</f>
        <v>0.378423376914601</v>
      </c>
      <c r="L6" s="26" t="n">
        <f aca="false">H6-K6</f>
        <v>3.29864962584022</v>
      </c>
      <c r="M6" s="26" t="n">
        <f aca="false">Assumptions!$B$31*Assumptions!$B$6*(1+Assumptions!$B$8)</f>
        <v>0.280962</v>
      </c>
      <c r="N6" s="26" t="n">
        <f aca="false">Assumptions!$B$36</f>
        <v>0.02</v>
      </c>
      <c r="O6" s="26" t="n">
        <f aca="false">L6-M6-N6</f>
        <v>2.99768762584022</v>
      </c>
      <c r="P6" s="27" t="n">
        <f aca="false">IF(F6=0,0,O6/F6)</f>
        <v>0.673749960388204</v>
      </c>
      <c r="Q6" s="26" t="n">
        <f aca="false">Assumptions!$B$32*Assumptions!$B$6*(1+Assumptions!$B$8)</f>
        <v>2.5913942131</v>
      </c>
      <c r="R6" s="26" t="n">
        <f aca="false">L6-Q6-N6</f>
        <v>0.68725541274022</v>
      </c>
      <c r="S6" s="27" t="n">
        <f aca="false">1-C6/(12*C5)</f>
        <v>0.443919169447534</v>
      </c>
    </row>
    <row r="7" customFormat="false" ht="15" hidden="false" customHeight="false" outlineLevel="0" collapsed="false">
      <c r="A7" s="5" t="s">
        <v>140</v>
      </c>
      <c r="B7" s="5" t="s">
        <v>138</v>
      </c>
      <c r="C7" s="6" t="n">
        <f aca="false">Assumptions!$B$12*Pricing!$E$39</f>
        <v>13.3411</v>
      </c>
      <c r="D7" s="43" t="n">
        <v>1</v>
      </c>
      <c r="E7" s="47" t="n">
        <f aca="false">1/D7</f>
        <v>1</v>
      </c>
      <c r="F7" s="26" t="n">
        <f aca="false">C7/D7</f>
        <v>13.3411</v>
      </c>
      <c r="G7" s="26" t="n">
        <f aca="false">F7-H7</f>
        <v>2.31539752066116</v>
      </c>
      <c r="H7" s="26" t="n">
        <f aca="false">F7/(1+Assumptions!$B$7)</f>
        <v>11.0257024793388</v>
      </c>
      <c r="I7" s="26" t="n">
        <f aca="false">H7*Assumptions!$B$21</f>
        <v>1.65385537190083</v>
      </c>
      <c r="J7" s="26" t="n">
        <f aca="false">F7*(Assumptions!$B$22+Assumptions!$B$24)+Assumptions!$B$23*E7</f>
        <v>0.5435042</v>
      </c>
      <c r="K7" s="26" t="n">
        <f aca="false">Assumptions!$B$19*I7+(1-Assumptions!$B$19)*J7</f>
        <v>1.2097149031405</v>
      </c>
      <c r="L7" s="26" t="n">
        <f aca="false">H7-K7</f>
        <v>9.81598757619835</v>
      </c>
      <c r="M7" s="26" t="n">
        <f aca="false">Assumptions!$B$33*Assumptions!$B$6*(1+Assumptions!$B$8)</f>
        <v>0.457864</v>
      </c>
      <c r="N7" s="26" t="n">
        <f aca="false">Assumptions!$B$36</f>
        <v>0.02</v>
      </c>
      <c r="O7" s="26" t="n">
        <f aca="false">L7-M7-N7</f>
        <v>9.33812357619835</v>
      </c>
      <c r="P7" s="27" t="n">
        <f aca="false">IF(F7=0,0,O7/F7)</f>
        <v>0.699951546439075</v>
      </c>
      <c r="Q7" s="26" t="n">
        <f aca="false">Assumptions!$B$34*Assumptions!$B$6*(1+Assumptions!$B$8)</f>
        <v>5.0344826345</v>
      </c>
      <c r="R7" s="26" t="n">
        <f aca="false">L7-Q7-N7</f>
        <v>4.76150494169835</v>
      </c>
    </row>
    <row r="8" customFormat="false" ht="15" hidden="false" customHeight="false" outlineLevel="0" collapsed="false">
      <c r="A8" s="5" t="s">
        <v>140</v>
      </c>
      <c r="B8" s="5" t="s">
        <v>139</v>
      </c>
      <c r="C8" s="6" t="n">
        <f aca="false">Assumptions!$B$13*Pricing!$E$39</f>
        <v>88.9911</v>
      </c>
      <c r="D8" s="43" t="n">
        <v>12</v>
      </c>
      <c r="E8" s="47" t="n">
        <f aca="false">1/D8</f>
        <v>0.0833333333333333</v>
      </c>
      <c r="F8" s="26" t="n">
        <f aca="false">C8/D8</f>
        <v>7.415925</v>
      </c>
      <c r="G8" s="26" t="n">
        <f aca="false">F8-H8</f>
        <v>1.28706136363636</v>
      </c>
      <c r="H8" s="26" t="n">
        <f aca="false">F8/(1+Assumptions!$B$7)</f>
        <v>6.12886363636364</v>
      </c>
      <c r="I8" s="26" t="n">
        <f aca="false">H8*Assumptions!$B$21</f>
        <v>0.919329545454545</v>
      </c>
      <c r="J8" s="26" t="n">
        <f aca="false">F8*(Assumptions!$B$22+Assumptions!$B$24)+Assumptions!$B$23*E8</f>
        <v>0.183983683333333</v>
      </c>
      <c r="K8" s="26" t="n">
        <f aca="false">Assumptions!$B$19*I8+(1-Assumptions!$B$19)*J8</f>
        <v>0.625191200606061</v>
      </c>
      <c r="L8" s="26" t="n">
        <f aca="false">H8-K8</f>
        <v>5.50367243575758</v>
      </c>
      <c r="M8" s="26" t="n">
        <f aca="false">Assumptions!$B$33*Assumptions!$B$6*(1+Assumptions!$B$8)</f>
        <v>0.457864</v>
      </c>
      <c r="N8" s="26" t="n">
        <f aca="false">Assumptions!$B$36</f>
        <v>0.02</v>
      </c>
      <c r="O8" s="26" t="n">
        <f aca="false">L8-M8-N8</f>
        <v>5.02580843575758</v>
      </c>
      <c r="P8" s="27" t="n">
        <f aca="false">IF(F8=0,0,O8/F8)</f>
        <v>0.677704862947991</v>
      </c>
      <c r="Q8" s="26" t="n">
        <f aca="false">Assumptions!$B$34*Assumptions!$B$6*(1+Assumptions!$B$8)</f>
        <v>5.0344826345</v>
      </c>
      <c r="R8" s="26" t="n">
        <f aca="false">L8-Q8-N8</f>
        <v>0.449189801257575</v>
      </c>
      <c r="S8" s="27" t="n">
        <f aca="false">1-C8/(12*C7)</f>
        <v>0.444129419613075</v>
      </c>
    </row>
    <row r="10" customFormat="false" ht="15" hidden="false" customHeight="false" outlineLevel="0" collapsed="false">
      <c r="A10" s="7" t="s">
        <v>387</v>
      </c>
    </row>
    <row r="11" customFormat="false" ht="15" hidden="false" customHeight="false" outlineLevel="0" collapsed="false">
      <c r="A11" s="7" t="s">
        <v>137</v>
      </c>
      <c r="B11" s="7" t="s">
        <v>388</v>
      </c>
      <c r="F11" s="38" t="n">
        <f aca="false">(1-Assumptions!$B$17)*F5+Assumptions!$B$17*F6</f>
        <v>5.51481083333333</v>
      </c>
      <c r="G11" s="38" t="n">
        <f aca="false">(1-Assumptions!$B$17)*G5+Assumptions!$B$17*G6</f>
        <v>0.957115929752066</v>
      </c>
      <c r="H11" s="38" t="n">
        <f aca="false">(1-Assumptions!$B$17)*H5+Assumptions!$B$17*H6</f>
        <v>4.55769490358127</v>
      </c>
      <c r="K11" s="38" t="n">
        <f aca="false">(1-Assumptions!$B$17)*K5+Assumptions!$B$17*K6</f>
        <v>0.494556209988981</v>
      </c>
      <c r="L11" s="38" t="n">
        <f aca="false">(1-Assumptions!$B$17)*L5+Assumptions!$B$17*L6</f>
        <v>4.06313869359229</v>
      </c>
      <c r="M11" s="38" t="n">
        <f aca="false">(1-Assumptions!$B$17)*M5+Assumptions!$B$17*M6</f>
        <v>0.280962</v>
      </c>
      <c r="N11" s="38" t="n">
        <f aca="false">(1-Assumptions!$B$17)*N5+Assumptions!$B$17*N6</f>
        <v>0.02</v>
      </c>
      <c r="O11" s="38" t="n">
        <f aca="false">(1-Assumptions!$B$17)*O5+Assumptions!$B$17*O6</f>
        <v>3.76217669359229</v>
      </c>
      <c r="P11" s="32" t="n">
        <f aca="false">IF(F11=0,0,O11/F11)</f>
        <v>0.682195057508129</v>
      </c>
      <c r="Q11" s="38" t="n">
        <f aca="false">(1-Assumptions!$B$17)*Q5+Assumptions!$B$17*Q6</f>
        <v>2.5913942131</v>
      </c>
      <c r="R11" s="38" t="n">
        <f aca="false">(1-Assumptions!$B$17)*R5+Assumptions!$B$17*R6</f>
        <v>1.45174448049229</v>
      </c>
    </row>
    <row r="12" customFormat="false" ht="15" hidden="false" customHeight="false" outlineLevel="0" collapsed="false">
      <c r="A12" s="7" t="s">
        <v>140</v>
      </c>
      <c r="B12" s="7" t="s">
        <v>388</v>
      </c>
      <c r="F12" s="38" t="n">
        <f aca="false">(1-Assumptions!$B$18)*F7+Assumptions!$B$18*F8</f>
        <v>10.67477125</v>
      </c>
      <c r="G12" s="38" t="n">
        <f aca="false">(1-Assumptions!$B$18)*G7+Assumptions!$B$18*G8</f>
        <v>1.85264625</v>
      </c>
      <c r="H12" s="38" t="n">
        <f aca="false">(1-Assumptions!$B$18)*H7+Assumptions!$B$18*H8</f>
        <v>8.822125</v>
      </c>
      <c r="K12" s="38" t="n">
        <f aca="false">(1-Assumptions!$B$18)*K7+Assumptions!$B$18*K8</f>
        <v>0.946679237</v>
      </c>
      <c r="L12" s="38" t="n">
        <f aca="false">(1-Assumptions!$B$18)*L7+Assumptions!$B$18*L8</f>
        <v>7.875445763</v>
      </c>
      <c r="M12" s="38" t="n">
        <f aca="false">(1-Assumptions!$B$18)*M7+Assumptions!$B$18*M8</f>
        <v>0.457864</v>
      </c>
      <c r="N12" s="38" t="n">
        <f aca="false">(1-Assumptions!$B$18)*N7+Assumptions!$B$18*N8</f>
        <v>0.02</v>
      </c>
      <c r="O12" s="38" t="n">
        <f aca="false">(1-Assumptions!$B$18)*O7+Assumptions!$B$18*O8</f>
        <v>7.397581763</v>
      </c>
      <c r="P12" s="32" t="n">
        <f aca="false">IF(F12=0,0,O12/F12)</f>
        <v>0.692996748103619</v>
      </c>
      <c r="Q12" s="38" t="n">
        <f aca="false">(1-Assumptions!$B$18)*Q7+Assumptions!$B$18*Q8</f>
        <v>5.0344826345</v>
      </c>
      <c r="R12" s="38" t="n">
        <f aca="false">(1-Assumptions!$B$18)*R7+Assumptions!$B$18*R8</f>
        <v>2.8209631285</v>
      </c>
    </row>
    <row r="13" customFormat="false" ht="15" hidden="false" customHeight="false" outlineLevel="0" collapsed="false">
      <c r="A13" s="7" t="s">
        <v>389</v>
      </c>
      <c r="B13" s="7" t="s">
        <v>388</v>
      </c>
      <c r="F13" s="38" t="n">
        <f aca="false">IF((Assumptions!$B$15+Assumptions!$B$16)=0,0,Assumptions!$B$15/(Assumptions!$B$15+Assumptions!$B$16)*F11+(1-Assumptions!$B$15/(Assumptions!$B$15+Assumptions!$B$16))*F12)</f>
        <v>6.45298545454546</v>
      </c>
      <c r="G13" s="38" t="n">
        <f aca="false">IF((Assumptions!$B$15+Assumptions!$B$16)=0,0,Assumptions!$B$15/(Assumptions!$B$15+Assumptions!$B$16)*G11+(1-Assumptions!$B$15/(Assumptions!$B$15+Assumptions!$B$16))*G12)</f>
        <v>1.1199396243426</v>
      </c>
      <c r="H13" s="38" t="n">
        <f aca="false">IF((Assumptions!$B$15+Assumptions!$B$16)=0,0,Assumptions!$B$15/(Assumptions!$B$15+Assumptions!$B$16)*H11+(1-Assumptions!$B$15/(Assumptions!$B$15+Assumptions!$B$16))*H12)</f>
        <v>5.33304583020286</v>
      </c>
      <c r="K13" s="38" t="n">
        <f aca="false">IF((Assumptions!$B$15+Assumptions!$B$16)=0,0,Assumptions!$B$15/(Assumptions!$B$15+Assumptions!$B$16)*K11+(1-Assumptions!$B$15/(Assumptions!$B$15+Assumptions!$B$16))*K12)</f>
        <v>0.576760396718257</v>
      </c>
      <c r="L13" s="38" t="n">
        <f aca="false">IF((Assumptions!$B$15+Assumptions!$B$16)=0,0,Assumptions!$B$15/(Assumptions!$B$15+Assumptions!$B$16)*L11+(1-Assumptions!$B$15/(Assumptions!$B$15+Assumptions!$B$16))*L12)</f>
        <v>4.7562854334846</v>
      </c>
      <c r="M13" s="38" t="n">
        <f aca="false">IF((Assumptions!$B$15+Assumptions!$B$16)=0,0,Assumptions!$B$15/(Assumptions!$B$15+Assumptions!$B$16)*M11+(1-Assumptions!$B$15/(Assumptions!$B$15+Assumptions!$B$16))*M12)</f>
        <v>0.313126</v>
      </c>
      <c r="N13" s="38" t="n">
        <f aca="false">IF((Assumptions!$B$15+Assumptions!$B$16)=0,0,Assumptions!$B$15/(Assumptions!$B$15+Assumptions!$B$16)*N11+(1-Assumptions!$B$15/(Assumptions!$B$15+Assumptions!$B$16))*N12)</f>
        <v>0.02</v>
      </c>
      <c r="O13" s="38" t="n">
        <f aca="false">IF((Assumptions!$B$15+Assumptions!$B$16)=0,0,Assumptions!$B$15/(Assumptions!$B$15+Assumptions!$B$16)*O11+(1-Assumptions!$B$15/(Assumptions!$B$15+Assumptions!$B$16))*O12)</f>
        <v>4.4231594334846</v>
      </c>
      <c r="P13" s="32" t="n">
        <f aca="false">IF(F13=0,0,O13/F13)</f>
        <v>0.685443887118782</v>
      </c>
      <c r="Q13" s="38" t="n">
        <f aca="false">IF((Assumptions!$B$15+Assumptions!$B$16)=0,0,Assumptions!$B$15/(Assumptions!$B$15+Assumptions!$B$16)*Q11+(1-Assumptions!$B$15/(Assumptions!$B$15+Assumptions!$B$16))*Q12)</f>
        <v>3.0355921079</v>
      </c>
      <c r="R13" s="38" t="n">
        <f aca="false">IF((Assumptions!$B$15+Assumptions!$B$16)=0,0,Assumptions!$B$15/(Assumptions!$B$15+Assumptions!$B$16)*R11+(1-Assumptions!$B$15/(Assumptions!$B$15+Assumptions!$B$16))*R12)</f>
        <v>1.7006933255846</v>
      </c>
    </row>
    <row r="15" customFormat="false" ht="15" hidden="false" customHeight="false" outlineLevel="0" collapsed="false">
      <c r="A15" s="3" t="s">
        <v>390</v>
      </c>
      <c r="B15" s="4"/>
      <c r="C15" s="4"/>
      <c r="D15" s="4"/>
      <c r="E15" s="4"/>
      <c r="F15" s="4"/>
      <c r="G15" s="4"/>
    </row>
    <row r="16" customFormat="false" ht="26.85" hidden="false" customHeight="false" outlineLevel="0" collapsed="false">
      <c r="A16" s="13" t="s">
        <v>391</v>
      </c>
      <c r="B16" s="13"/>
      <c r="C16" s="13" t="s">
        <v>392</v>
      </c>
      <c r="D16" s="13" t="s">
        <v>374</v>
      </c>
      <c r="E16" s="13" t="s">
        <v>393</v>
      </c>
      <c r="F16" s="13" t="s">
        <v>394</v>
      </c>
      <c r="G16" s="13" t="s">
        <v>395</v>
      </c>
    </row>
    <row r="17" customFormat="false" ht="15" hidden="false" customHeight="false" outlineLevel="0" collapsed="false">
      <c r="A17" s="5" t="s">
        <v>396</v>
      </c>
      <c r="C17" s="26" t="n">
        <f aca="false">C6</f>
        <v>53.3911</v>
      </c>
      <c r="D17" s="26" t="n">
        <f aca="false">C6-C6/(1+Assumptions!$B$7)</f>
        <v>9.26622396694215</v>
      </c>
      <c r="E17" s="26" t="n">
        <f aca="false">C6/(1+Assumptions!$B$7)*Assumptions!$B$21</f>
        <v>6.61873140495868</v>
      </c>
      <c r="F17" s="41" t="n">
        <f aca="false">C17-D17-E17</f>
        <v>37.5061446280992</v>
      </c>
      <c r="G17" s="27" t="n">
        <f aca="false">IF(C17=0,0,F17/C17)</f>
        <v>0.702479338842975</v>
      </c>
    </row>
    <row r="18" customFormat="false" ht="15" hidden="false" customHeight="false" outlineLevel="0" collapsed="false">
      <c r="A18" s="5" t="s">
        <v>397</v>
      </c>
      <c r="C18" s="26" t="n">
        <f aca="false">C6</f>
        <v>53.3911</v>
      </c>
      <c r="D18" s="26" t="n">
        <f aca="false">C6-C6/(1+Assumptions!$B$7)</f>
        <v>9.26622396694215</v>
      </c>
      <c r="E18" s="26" t="n">
        <f aca="false">C6*(Assumptions!$B$22+Assumptions!$B$24)+Assumptions!$B$23</f>
        <v>1.4246042</v>
      </c>
      <c r="F18" s="41" t="n">
        <f aca="false">C18-D18-E18</f>
        <v>42.7002718330579</v>
      </c>
      <c r="G18" s="27" t="n">
        <f aca="false">IF(C18=0,0,F18/C18)</f>
        <v>0.799763852646937</v>
      </c>
    </row>
    <row r="19" customFormat="false" ht="15" hidden="false" customHeight="false" outlineLevel="0" collapsed="false">
      <c r="A19" s="5" t="s">
        <v>398</v>
      </c>
      <c r="C19" s="26" t="n">
        <f aca="false">C6</f>
        <v>53.3911</v>
      </c>
      <c r="D19" s="26" t="n">
        <f aca="false">0</f>
        <v>0</v>
      </c>
      <c r="E19" s="26" t="n">
        <f aca="false">C6*(Assumptions!$B$22+Assumptions!$B$24)+Assumptions!$B$23</f>
        <v>1.4246042</v>
      </c>
      <c r="F19" s="41" t="n">
        <f aca="false">C19-D19-E19</f>
        <v>51.9664958</v>
      </c>
      <c r="G19" s="27" t="n">
        <f aca="false">IF(C19=0,0,F19/C19)</f>
        <v>0.973317571655201</v>
      </c>
    </row>
    <row r="21" customFormat="false" ht="15" hidden="false" customHeight="false" outlineLevel="0" collapsed="false">
      <c r="A21" s="3" t="s">
        <v>399</v>
      </c>
      <c r="B21" s="4"/>
      <c r="C21" s="4"/>
      <c r="D21" s="4"/>
      <c r="E21" s="4"/>
      <c r="F21" s="4"/>
      <c r="G21" s="4"/>
    </row>
    <row r="22" customFormat="false" ht="26.85" hidden="false" customHeight="false" outlineLevel="0" collapsed="false">
      <c r="A22" s="13" t="s">
        <v>400</v>
      </c>
      <c r="B22" s="13"/>
      <c r="C22" s="13" t="s">
        <v>401</v>
      </c>
      <c r="D22" s="13" t="s">
        <v>20</v>
      </c>
      <c r="E22" s="13" t="s">
        <v>402</v>
      </c>
      <c r="F22" s="13"/>
      <c r="G22" s="13"/>
    </row>
    <row r="23" customFormat="false" ht="15" hidden="false" customHeight="false" outlineLevel="0" collapsed="false">
      <c r="A23" s="5" t="s">
        <v>315</v>
      </c>
      <c r="C23" s="6" t="n">
        <f aca="false">'Fixed costs'!$I$24</f>
        <v>232.68245</v>
      </c>
      <c r="D23" s="36" t="n">
        <f aca="false">IF(O13&lt;=0,"never",ROUNDUP(C23/O13,0))</f>
        <v>53</v>
      </c>
      <c r="E23" s="36" t="n">
        <f aca="false">IF(ISNUMBER(D23),ROUNDUP(D23/(Assumptions!$B$15+Assumptions!$B$16),0),"never")</f>
        <v>964</v>
      </c>
    </row>
    <row r="24" customFormat="false" ht="15" hidden="false" customHeight="false" outlineLevel="0" collapsed="false">
      <c r="A24" s="5" t="s">
        <v>316</v>
      </c>
      <c r="C24" s="6" t="n">
        <f aca="false">'Fixed costs'!$J$24</f>
        <v>355.32145</v>
      </c>
      <c r="D24" s="36" t="n">
        <f aca="false">IF(O13&lt;=0,"never",ROUNDUP(C24/O13,0))</f>
        <v>81</v>
      </c>
      <c r="E24" s="36" t="n">
        <f aca="false">IF(ISNUMBER(D24),ROUNDUP(D24/(Assumptions!$B$15+Assumptions!$B$16),0),"never")</f>
        <v>1473</v>
      </c>
    </row>
    <row r="25" customFormat="false" ht="15" hidden="false" customHeight="false" outlineLevel="0" collapsed="false">
      <c r="A25" s="5" t="s">
        <v>317</v>
      </c>
      <c r="C25" s="6" t="n">
        <f aca="false">'Fixed costs'!$K$24</f>
        <v>736.5767</v>
      </c>
      <c r="D25" s="36" t="n">
        <f aca="false">IF(O13&lt;=0,"never",ROUNDUP(C25/O13,0))</f>
        <v>167</v>
      </c>
      <c r="E25" s="36" t="n">
        <f aca="false">IF(ISNUMBER(D25),ROUNDUP(D25/(Assumptions!$B$15+Assumptions!$B$16),0),"never")</f>
        <v>3037</v>
      </c>
    </row>
    <row r="27" customFormat="false" ht="15" hidden="false" customHeight="false" outlineLevel="0" collapsed="false">
      <c r="A27" s="25" t="s">
        <v>403</v>
      </c>
    </row>
    <row r="29" customFormat="false" ht="15" hidden="false" customHeight="false" outlineLevel="0" collapsed="false">
      <c r="A29" s="7" t="s">
        <v>404</v>
      </c>
      <c r="C29" s="6" t="n">
        <f aca="false">Assumptions!$B$35</f>
        <v>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4"/>
    <col collapsed="false" customWidth="true" hidden="false" outlineLevel="0" max="9" min="2" style="0" width="14"/>
  </cols>
  <sheetData>
    <row r="1" customFormat="false" ht="17.35" hidden="false" customHeight="false" outlineLevel="0" collapsed="false">
      <c r="A1" s="1" t="s">
        <v>405</v>
      </c>
    </row>
    <row r="2" customFormat="false" ht="15" hidden="false" customHeight="false" outlineLevel="0" collapsed="false">
      <c r="A2" s="2" t="s">
        <v>406</v>
      </c>
    </row>
    <row r="4" customFormat="false" ht="15" hidden="false" customHeight="false" outlineLevel="0" collapsed="false">
      <c r="A4" s="13" t="s">
        <v>407</v>
      </c>
      <c r="B4" s="13" t="s">
        <v>408</v>
      </c>
      <c r="C4" s="13" t="s">
        <v>409</v>
      </c>
      <c r="D4" s="13" t="s">
        <v>410</v>
      </c>
      <c r="E4" s="13" t="s">
        <v>411</v>
      </c>
      <c r="F4" s="13" t="s">
        <v>412</v>
      </c>
      <c r="G4" s="13" t="s">
        <v>413</v>
      </c>
      <c r="H4" s="13" t="s">
        <v>414</v>
      </c>
      <c r="I4" s="13" t="s">
        <v>415</v>
      </c>
    </row>
    <row r="5" customFormat="false" ht="15" hidden="false" customHeight="false" outlineLevel="0" collapsed="false">
      <c r="A5" s="5" t="s">
        <v>416</v>
      </c>
      <c r="B5" s="24" t="n">
        <v>100</v>
      </c>
      <c r="C5" s="24" t="n">
        <v>500</v>
      </c>
      <c r="D5" s="24" t="n">
        <v>1000</v>
      </c>
      <c r="E5" s="24" t="n">
        <v>2500</v>
      </c>
      <c r="F5" s="24" t="n">
        <v>5000</v>
      </c>
      <c r="G5" s="24" t="n">
        <v>10000</v>
      </c>
      <c r="H5" s="24" t="n">
        <v>25000</v>
      </c>
      <c r="I5" s="24" t="n">
        <v>50000</v>
      </c>
    </row>
    <row r="6" customFormat="false" ht="15" hidden="false" customHeight="false" outlineLevel="0" collapsed="false">
      <c r="A6" s="5" t="s">
        <v>417</v>
      </c>
      <c r="B6" s="48" t="n">
        <f aca="false">IF(B5&gt;=Assumptions!$B$39,3,IF(B5&gt;=Assumptions!$B$38,2,1))</f>
        <v>1</v>
      </c>
      <c r="C6" s="48" t="n">
        <f aca="false">IF(C5&gt;=Assumptions!$B$39,3,IF(C5&gt;=Assumptions!$B$38,2,1))</f>
        <v>1</v>
      </c>
      <c r="D6" s="48" t="n">
        <f aca="false">IF(D5&gt;=Assumptions!$B$39,3,IF(D5&gt;=Assumptions!$B$38,2,1))</f>
        <v>1</v>
      </c>
      <c r="E6" s="48" t="n">
        <f aca="false">IF(E5&gt;=Assumptions!$B$39,3,IF(E5&gt;=Assumptions!$B$38,2,1))</f>
        <v>2</v>
      </c>
      <c r="F6" s="48" t="n">
        <f aca="false">IF(F5&gt;=Assumptions!$B$39,3,IF(F5&gt;=Assumptions!$B$38,2,1))</f>
        <v>2</v>
      </c>
      <c r="G6" s="48" t="n">
        <f aca="false">IF(G5&gt;=Assumptions!$B$39,3,IF(G5&gt;=Assumptions!$B$38,2,1))</f>
        <v>2</v>
      </c>
      <c r="H6" s="48" t="n">
        <f aca="false">IF(H5&gt;=Assumptions!$B$39,3,IF(H5&gt;=Assumptions!$B$38,2,1))</f>
        <v>3</v>
      </c>
      <c r="I6" s="48" t="n">
        <f aca="false">IF(I5&gt;=Assumptions!$B$39,3,IF(I5&gt;=Assumptions!$B$38,2,1))</f>
        <v>3</v>
      </c>
    </row>
    <row r="7" customFormat="false" ht="15" hidden="false" customHeight="false" outlineLevel="0" collapsed="false">
      <c r="A7" s="5" t="s">
        <v>418</v>
      </c>
      <c r="B7" s="36" t="n">
        <f aca="false">B5-B8-B9</f>
        <v>94</v>
      </c>
      <c r="C7" s="36" t="n">
        <f aca="false">C5-C8-C9</f>
        <v>472</v>
      </c>
      <c r="D7" s="36" t="n">
        <f aca="false">D5-D8-D9</f>
        <v>945</v>
      </c>
      <c r="E7" s="36" t="n">
        <f aca="false">E5-E8-E9</f>
        <v>2362</v>
      </c>
      <c r="F7" s="36" t="n">
        <f aca="false">F5-F8-F9</f>
        <v>4725</v>
      </c>
      <c r="G7" s="36" t="n">
        <f aca="false">G5-G8-G9</f>
        <v>9450</v>
      </c>
      <c r="H7" s="36" t="n">
        <f aca="false">H5-H8-H9</f>
        <v>23625</v>
      </c>
      <c r="I7" s="36" t="n">
        <f aca="false">I5-I8-I9</f>
        <v>47250</v>
      </c>
    </row>
    <row r="8" customFormat="false" ht="15" hidden="false" customHeight="false" outlineLevel="0" collapsed="false">
      <c r="A8" s="5" t="s">
        <v>419</v>
      </c>
      <c r="B8" s="36" t="n">
        <f aca="false">ROUND(B5*Assumptions!$B$15,0)</f>
        <v>5</v>
      </c>
      <c r="C8" s="36" t="n">
        <f aca="false">ROUND(C5*Assumptions!$B$15,0)</f>
        <v>23</v>
      </c>
      <c r="D8" s="36" t="n">
        <f aca="false">ROUND(D5*Assumptions!$B$15,0)</f>
        <v>45</v>
      </c>
      <c r="E8" s="36" t="n">
        <f aca="false">ROUND(E5*Assumptions!$B$15,0)</f>
        <v>113</v>
      </c>
      <c r="F8" s="36" t="n">
        <f aca="false">ROUND(F5*Assumptions!$B$15,0)</f>
        <v>225</v>
      </c>
      <c r="G8" s="36" t="n">
        <f aca="false">ROUND(G5*Assumptions!$B$15,0)</f>
        <v>450</v>
      </c>
      <c r="H8" s="36" t="n">
        <f aca="false">ROUND(H5*Assumptions!$B$15,0)</f>
        <v>1125</v>
      </c>
      <c r="I8" s="36" t="n">
        <f aca="false">ROUND(I5*Assumptions!$B$15,0)</f>
        <v>2250</v>
      </c>
    </row>
    <row r="9" customFormat="false" ht="15" hidden="false" customHeight="false" outlineLevel="0" collapsed="false">
      <c r="A9" s="5" t="s">
        <v>420</v>
      </c>
      <c r="B9" s="36" t="n">
        <f aca="false">ROUND(B5*Assumptions!$B$16,0)</f>
        <v>1</v>
      </c>
      <c r="C9" s="36" t="n">
        <f aca="false">ROUND(C5*Assumptions!$B$16,0)</f>
        <v>5</v>
      </c>
      <c r="D9" s="36" t="n">
        <f aca="false">ROUND(D5*Assumptions!$B$16,0)</f>
        <v>10</v>
      </c>
      <c r="E9" s="36" t="n">
        <f aca="false">ROUND(E5*Assumptions!$B$16,0)</f>
        <v>25</v>
      </c>
      <c r="F9" s="36" t="n">
        <f aca="false">ROUND(F5*Assumptions!$B$16,0)</f>
        <v>50</v>
      </c>
      <c r="G9" s="36" t="n">
        <f aca="false">ROUND(G5*Assumptions!$B$16,0)</f>
        <v>100</v>
      </c>
      <c r="H9" s="36" t="n">
        <f aca="false">ROUND(H5*Assumptions!$B$16,0)</f>
        <v>250</v>
      </c>
      <c r="I9" s="36" t="n">
        <f aca="false">ROUND(I5*Assumptions!$B$16,0)</f>
        <v>500</v>
      </c>
    </row>
    <row r="10" customFormat="false" ht="15" hidden="false" customHeight="false" outlineLevel="0" collapsed="false">
      <c r="A10" s="7" t="s">
        <v>421</v>
      </c>
      <c r="B10" s="49" t="n">
        <f aca="false">B8+B9</f>
        <v>6</v>
      </c>
      <c r="C10" s="49" t="n">
        <f aca="false">C8+C9</f>
        <v>28</v>
      </c>
      <c r="D10" s="49" t="n">
        <f aca="false">D8+D9</f>
        <v>55</v>
      </c>
      <c r="E10" s="49" t="n">
        <f aca="false">E8+E9</f>
        <v>138</v>
      </c>
      <c r="F10" s="49" t="n">
        <f aca="false">F8+F9</f>
        <v>275</v>
      </c>
      <c r="G10" s="49" t="n">
        <f aca="false">G8+G9</f>
        <v>550</v>
      </c>
      <c r="H10" s="49" t="n">
        <f aca="false">H8+H9</f>
        <v>1375</v>
      </c>
      <c r="I10" s="49" t="n">
        <f aca="false">I8+I9</f>
        <v>2750</v>
      </c>
    </row>
    <row r="12" customFormat="false" ht="15" hidden="false" customHeight="false" outlineLevel="0" collapsed="false">
      <c r="A12" s="3" t="s">
        <v>422</v>
      </c>
      <c r="B12" s="4"/>
      <c r="C12" s="4"/>
      <c r="D12" s="4"/>
      <c r="E12" s="4"/>
      <c r="F12" s="4"/>
      <c r="G12" s="4"/>
      <c r="H12" s="4"/>
      <c r="I12" s="4"/>
    </row>
    <row r="13" customFormat="false" ht="15" hidden="false" customHeight="false" outlineLevel="0" collapsed="false">
      <c r="A13" s="5" t="s">
        <v>423</v>
      </c>
      <c r="B13" s="26" t="n">
        <f aca="false">B8*'Unit economics'!$F$11+B9*'Unit economics'!$F$12</f>
        <v>38.2488254166667</v>
      </c>
      <c r="C13" s="26" t="n">
        <f aca="false">C8*'Unit economics'!$F$11+C9*'Unit economics'!$F$12</f>
        <v>180.214505416667</v>
      </c>
      <c r="D13" s="26" t="n">
        <f aca="false">D8*'Unit economics'!$F$11+D9*'Unit economics'!$F$12</f>
        <v>354.9142</v>
      </c>
      <c r="E13" s="26" t="n">
        <f aca="false">E8*'Unit economics'!$F$11+E9*'Unit economics'!$F$12</f>
        <v>890.042905416667</v>
      </c>
      <c r="F13" s="26" t="n">
        <f aca="false">F8*'Unit economics'!$F$11+F9*'Unit economics'!$F$12</f>
        <v>1774.571</v>
      </c>
      <c r="G13" s="26" t="n">
        <f aca="false">G8*'Unit economics'!$F$11+G9*'Unit economics'!$F$12</f>
        <v>3549.142</v>
      </c>
      <c r="H13" s="26" t="n">
        <f aca="false">H8*'Unit economics'!$F$11+H9*'Unit economics'!$F$12</f>
        <v>8872.855</v>
      </c>
      <c r="I13" s="26" t="n">
        <f aca="false">I8*'Unit economics'!$F$11+I9*'Unit economics'!$F$12</f>
        <v>17745.71</v>
      </c>
    </row>
    <row r="14" customFormat="false" ht="15" hidden="false" customHeight="false" outlineLevel="0" collapsed="false">
      <c r="A14" s="5" t="s">
        <v>424</v>
      </c>
      <c r="B14" s="26" t="n">
        <f aca="false">-(B8*'Unit economics'!$G$11+B9*'Unit economics'!$G$12)</f>
        <v>-6.63822589876033</v>
      </c>
      <c r="C14" s="26" t="n">
        <f aca="false">-(C8*'Unit economics'!$G$11+C9*'Unit economics'!$G$12)</f>
        <v>-31.2768976342975</v>
      </c>
      <c r="D14" s="26" t="n">
        <f aca="false">-(D8*'Unit economics'!$G$11+D9*'Unit economics'!$G$12)</f>
        <v>-61.596679338843</v>
      </c>
      <c r="E14" s="26" t="n">
        <f aca="false">-(E8*'Unit economics'!$G$11+E9*'Unit economics'!$G$12)</f>
        <v>-154.470256311983</v>
      </c>
      <c r="F14" s="26" t="n">
        <f aca="false">-(F8*'Unit economics'!$G$11+F9*'Unit economics'!$G$12)</f>
        <v>-307.983396694215</v>
      </c>
      <c r="G14" s="26" t="n">
        <f aca="false">-(G8*'Unit economics'!$G$11+G9*'Unit economics'!$G$12)</f>
        <v>-615.96679338843</v>
      </c>
      <c r="H14" s="26" t="n">
        <f aca="false">-(H8*'Unit economics'!$G$11+H9*'Unit economics'!$G$12)</f>
        <v>-1539.91698347107</v>
      </c>
      <c r="I14" s="26" t="n">
        <f aca="false">-(I8*'Unit economics'!$G$11+I9*'Unit economics'!$G$12)</f>
        <v>-3079.83396694215</v>
      </c>
    </row>
    <row r="15" customFormat="false" ht="15" hidden="false" customHeight="false" outlineLevel="0" collapsed="false">
      <c r="A15" s="5" t="s">
        <v>425</v>
      </c>
      <c r="B15" s="26" t="n">
        <f aca="false">B22*(1-Assumptions!$B$19)*(B8*'Unit economics'!$G$11+B9*'Unit economics'!$G$12)</f>
        <v>2.65529035950413</v>
      </c>
      <c r="C15" s="26" t="n">
        <f aca="false">C22*(1-Assumptions!$B$19)*(C8*'Unit economics'!$G$11+C9*'Unit economics'!$G$12)</f>
        <v>12.510759053719</v>
      </c>
      <c r="D15" s="26" t="n">
        <f aca="false">D22*(1-Assumptions!$B$19)*(D8*'Unit economics'!$G$11+D9*'Unit economics'!$G$12)</f>
        <v>24.6386717355372</v>
      </c>
      <c r="E15" s="26" t="n">
        <f aca="false">E22*(1-Assumptions!$B$19)*(E8*'Unit economics'!$G$11+E9*'Unit economics'!$G$12)</f>
        <v>61.7881025247934</v>
      </c>
      <c r="F15" s="26" t="n">
        <f aca="false">F22*(1-Assumptions!$B$19)*(F8*'Unit economics'!$G$11+F9*'Unit economics'!$G$12)</f>
        <v>123.193358677686</v>
      </c>
      <c r="G15" s="26" t="n">
        <f aca="false">G22*(1-Assumptions!$B$19)*(G8*'Unit economics'!$G$11+G9*'Unit economics'!$G$12)</f>
        <v>0</v>
      </c>
      <c r="H15" s="26" t="n">
        <f aca="false">H22*(1-Assumptions!$B$19)*(H8*'Unit economics'!$G$11+H9*'Unit economics'!$G$12)</f>
        <v>0</v>
      </c>
      <c r="I15" s="26" t="n">
        <f aca="false">I22*(1-Assumptions!$B$19)*(I8*'Unit economics'!$G$11+I9*'Unit economics'!$G$12)</f>
        <v>0</v>
      </c>
    </row>
    <row r="16" customFormat="false" ht="15" hidden="false" customHeight="false" outlineLevel="0" collapsed="false">
      <c r="A16" s="5" t="s">
        <v>426</v>
      </c>
      <c r="B16" s="26" t="n">
        <f aca="false">-(B8*'Unit economics'!$K$11+B9*'Unit economics'!$K$12)</f>
        <v>-3.4194602869449</v>
      </c>
      <c r="C16" s="26" t="n">
        <f aca="false">-(C8*'Unit economics'!$K$11+C9*'Unit economics'!$K$12)</f>
        <v>-16.1081890147466</v>
      </c>
      <c r="D16" s="26" t="n">
        <f aca="false">-(D8*'Unit economics'!$K$11+D9*'Unit economics'!$K$12)</f>
        <v>-31.7218218195041</v>
      </c>
      <c r="E16" s="26" t="n">
        <f aca="false">-(E8*'Unit economics'!$K$11+E9*'Unit economics'!$K$12)</f>
        <v>-79.5518326537548</v>
      </c>
      <c r="F16" s="26" t="n">
        <f aca="false">-(F8*'Unit economics'!$K$11+F9*'Unit economics'!$K$12)</f>
        <v>-158.609109097521</v>
      </c>
      <c r="G16" s="26" t="n">
        <f aca="false">-(G8*'Unit economics'!$K$11+G9*'Unit economics'!$K$12)</f>
        <v>-317.218218195041</v>
      </c>
      <c r="H16" s="26" t="n">
        <f aca="false">-(H8*'Unit economics'!$K$11+H9*'Unit economics'!$K$12)</f>
        <v>-793.045545487603</v>
      </c>
      <c r="I16" s="26" t="n">
        <f aca="false">-(I8*'Unit economics'!$K$11+I9*'Unit economics'!$K$12)</f>
        <v>-1586.09109097521</v>
      </c>
    </row>
    <row r="17" customFormat="false" ht="15" hidden="false" customHeight="false" outlineLevel="0" collapsed="false">
      <c r="A17" s="7" t="s">
        <v>427</v>
      </c>
      <c r="B17" s="41" t="n">
        <f aca="false">B13+B14+B15+B16</f>
        <v>30.8464295904656</v>
      </c>
      <c r="C17" s="41" t="n">
        <f aca="false">C13+C14+C15+C16</f>
        <v>145.340177821342</v>
      </c>
      <c r="D17" s="41" t="n">
        <f aca="false">D13+D14+D15+D16</f>
        <v>286.23437057719</v>
      </c>
      <c r="E17" s="41" t="n">
        <f aca="false">E13+E14+E15+E16</f>
        <v>717.808918975722</v>
      </c>
      <c r="F17" s="41" t="n">
        <f aca="false">F13+F14+F15+F16</f>
        <v>1431.17185288595</v>
      </c>
      <c r="G17" s="41" t="n">
        <f aca="false">G13+G14+G15+G16</f>
        <v>2615.95698841653</v>
      </c>
      <c r="H17" s="41" t="n">
        <f aca="false">H13+H14+H15+H16</f>
        <v>6539.89247104132</v>
      </c>
      <c r="I17" s="41" t="n">
        <f aca="false">I13+I14+I15+I16</f>
        <v>13079.7849420826</v>
      </c>
    </row>
    <row r="19" customFormat="false" ht="15" hidden="false" customHeight="false" outlineLevel="0" collapsed="false">
      <c r="A19" s="3" t="s">
        <v>428</v>
      </c>
      <c r="B19" s="4"/>
      <c r="C19" s="4"/>
      <c r="D19" s="4"/>
      <c r="E19" s="4"/>
      <c r="F19" s="4"/>
      <c r="G19" s="4"/>
      <c r="H19" s="4"/>
      <c r="I19" s="4"/>
    </row>
    <row r="20" customFormat="false" ht="15" hidden="false" customHeight="false" outlineLevel="0" collapsed="false">
      <c r="A20" s="5" t="s">
        <v>429</v>
      </c>
      <c r="B20" s="26" t="n">
        <f aca="false">(B13+B14)*12</f>
        <v>379.327194214876</v>
      </c>
      <c r="C20" s="26" t="n">
        <f aca="false">(C13+C14)*12</f>
        <v>1787.25129338843</v>
      </c>
      <c r="D20" s="26" t="n">
        <f aca="false">(D13+D14)*12</f>
        <v>3519.81024793388</v>
      </c>
      <c r="E20" s="26" t="n">
        <f aca="false">(E13+E14)*12</f>
        <v>8826.8717892562</v>
      </c>
      <c r="F20" s="26" t="n">
        <f aca="false">(F13+F14)*12</f>
        <v>17599.0512396694</v>
      </c>
      <c r="G20" s="26" t="n">
        <f aca="false">(G13+G14)*12</f>
        <v>35198.1024793388</v>
      </c>
      <c r="H20" s="26" t="n">
        <f aca="false">(H13+H14)*12</f>
        <v>87995.2561983471</v>
      </c>
      <c r="I20" s="26" t="n">
        <f aca="false">(I13+I14)*12</f>
        <v>175990.512396694</v>
      </c>
    </row>
    <row r="21" customFormat="false" ht="15" hidden="false" customHeight="false" outlineLevel="0" collapsed="false">
      <c r="A21" s="5" t="s">
        <v>430</v>
      </c>
      <c r="B21" s="26" t="n">
        <f aca="false">B13*(1-Assumptions!$B$19)*Assumptions!$B$29*12</f>
        <v>146.8754896</v>
      </c>
      <c r="C21" s="26" t="n">
        <f aca="false">C13*(1-Assumptions!$B$19)*Assumptions!$B$29*12</f>
        <v>692.0237008</v>
      </c>
      <c r="D21" s="26" t="n">
        <f aca="false">D13*(1-Assumptions!$B$19)*Assumptions!$B$29*12</f>
        <v>1362.870528</v>
      </c>
      <c r="E21" s="26" t="n">
        <f aca="false">E13*(1-Assumptions!$B$19)*Assumptions!$B$29*12</f>
        <v>3417.7647568</v>
      </c>
      <c r="F21" s="26" t="n">
        <f aca="false">F13*(1-Assumptions!$B$19)*Assumptions!$B$29*12</f>
        <v>6814.35264</v>
      </c>
      <c r="G21" s="26" t="n">
        <f aca="false">G13*(1-Assumptions!$B$19)*Assumptions!$B$29*12</f>
        <v>13628.70528</v>
      </c>
      <c r="H21" s="26" t="n">
        <f aca="false">H13*(1-Assumptions!$B$19)*Assumptions!$B$29*12</f>
        <v>34071.7632</v>
      </c>
      <c r="I21" s="26" t="n">
        <f aca="false">I13*(1-Assumptions!$B$19)*Assumptions!$B$29*12</f>
        <v>68143.5264</v>
      </c>
    </row>
    <row r="22" customFormat="false" ht="15" hidden="false" customHeight="false" outlineLevel="0" collapsed="false">
      <c r="A22" s="5" t="s">
        <v>431</v>
      </c>
      <c r="B22" s="48" t="n">
        <f aca="false">IF(AND(Assumptions!$B$26="Y",B20&lt;=Assumptions!$B$27,B21&lt;=Assumptions!$B$28),1,0)</f>
        <v>1</v>
      </c>
      <c r="C22" s="48" t="n">
        <f aca="false">IF(AND(Assumptions!$B$26="Y",C20&lt;=Assumptions!$B$27,C21&lt;=Assumptions!$B$28),1,0)</f>
        <v>1</v>
      </c>
      <c r="D22" s="48" t="n">
        <f aca="false">IF(AND(Assumptions!$B$26="Y",D20&lt;=Assumptions!$B$27,D21&lt;=Assumptions!$B$28),1,0)</f>
        <v>1</v>
      </c>
      <c r="E22" s="48" t="n">
        <f aca="false">IF(AND(Assumptions!$B$26="Y",E20&lt;=Assumptions!$B$27,E21&lt;=Assumptions!$B$28),1,0)</f>
        <v>1</v>
      </c>
      <c r="F22" s="48" t="n">
        <f aca="false">IF(AND(Assumptions!$B$26="Y",F20&lt;=Assumptions!$B$27,F21&lt;=Assumptions!$B$28),1,0)</f>
        <v>1</v>
      </c>
      <c r="G22" s="48" t="n">
        <f aca="false">IF(AND(Assumptions!$B$26="Y",G20&lt;=Assumptions!$B$27,G21&lt;=Assumptions!$B$28),1,0)</f>
        <v>0</v>
      </c>
      <c r="H22" s="48" t="n">
        <f aca="false">IF(AND(Assumptions!$B$26="Y",H20&lt;=Assumptions!$B$27,H21&lt;=Assumptions!$B$28),1,0)</f>
        <v>0</v>
      </c>
      <c r="I22" s="48" t="n">
        <f aca="false">IF(AND(Assumptions!$B$26="Y",I20&lt;=Assumptions!$B$27,I21&lt;=Assumptions!$B$28),1,0)</f>
        <v>0</v>
      </c>
    </row>
    <row r="24" customFormat="false" ht="15" hidden="false" customHeight="false" outlineLevel="0" collapsed="false">
      <c r="A24" s="3" t="s">
        <v>432</v>
      </c>
      <c r="B24" s="4"/>
      <c r="C24" s="4"/>
      <c r="D24" s="4"/>
      <c r="E24" s="4"/>
      <c r="F24" s="4"/>
      <c r="G24" s="4"/>
      <c r="H24" s="4"/>
      <c r="I24" s="4"/>
    </row>
    <row r="25" customFormat="false" ht="15" hidden="false" customHeight="false" outlineLevel="0" collapsed="false">
      <c r="A25" s="5" t="s">
        <v>433</v>
      </c>
      <c r="B25" s="26" t="n">
        <f aca="false">B8*'Unit economics'!$M$11+B9*'Unit economics'!$M$12</f>
        <v>1.862674</v>
      </c>
      <c r="C25" s="26" t="n">
        <f aca="false">C8*'Unit economics'!$M$11+C9*'Unit economics'!$M$12</f>
        <v>8.751446</v>
      </c>
      <c r="D25" s="26" t="n">
        <f aca="false">D8*'Unit economics'!$M$11+D9*'Unit economics'!$M$12</f>
        <v>17.22193</v>
      </c>
      <c r="E25" s="26" t="n">
        <f aca="false">E8*'Unit economics'!$M$11+E9*'Unit economics'!$M$12</f>
        <v>43.195306</v>
      </c>
      <c r="F25" s="26" t="n">
        <f aca="false">F8*'Unit economics'!$M$11+F9*'Unit economics'!$M$12</f>
        <v>86.10965</v>
      </c>
      <c r="G25" s="26" t="n">
        <f aca="false">G8*'Unit economics'!$M$11+G9*'Unit economics'!$M$12</f>
        <v>172.2193</v>
      </c>
      <c r="H25" s="26" t="n">
        <f aca="false">H8*'Unit economics'!$M$11+H9*'Unit economics'!$M$12</f>
        <v>430.54825</v>
      </c>
      <c r="I25" s="26" t="n">
        <f aca="false">I8*'Unit economics'!$M$11+I9*'Unit economics'!$M$12</f>
        <v>861.0965</v>
      </c>
    </row>
    <row r="26" customFormat="false" ht="15" hidden="false" customHeight="false" outlineLevel="0" collapsed="false">
      <c r="A26" s="5" t="s">
        <v>434</v>
      </c>
      <c r="B26" s="26" t="n">
        <f aca="false">B7*Assumptions!$B$35+B10*Assumptions!$B$36</f>
        <v>1.06</v>
      </c>
      <c r="C26" s="26" t="n">
        <f aca="false">C7*Assumptions!$B$35+C10*Assumptions!$B$36</f>
        <v>5.28</v>
      </c>
      <c r="D26" s="26" t="n">
        <f aca="false">D7*Assumptions!$B$35+D10*Assumptions!$B$36</f>
        <v>10.55</v>
      </c>
      <c r="E26" s="26" t="n">
        <f aca="false">E7*Assumptions!$B$35+E10*Assumptions!$B$36</f>
        <v>26.38</v>
      </c>
      <c r="F26" s="26" t="n">
        <f aca="false">F7*Assumptions!$B$35+F10*Assumptions!$B$36</f>
        <v>52.75</v>
      </c>
      <c r="G26" s="26" t="n">
        <f aca="false">G7*Assumptions!$B$35+G10*Assumptions!$B$36</f>
        <v>105.5</v>
      </c>
      <c r="H26" s="26" t="n">
        <f aca="false">H7*Assumptions!$B$35+H10*Assumptions!$B$36</f>
        <v>263.75</v>
      </c>
      <c r="I26" s="26" t="n">
        <f aca="false">I7*Assumptions!$B$35+I10*Assumptions!$B$36</f>
        <v>527.5</v>
      </c>
    </row>
    <row r="27" customFormat="false" ht="15" hidden="false" customHeight="false" outlineLevel="0" collapsed="false">
      <c r="A27" s="5" t="s">
        <v>435</v>
      </c>
      <c r="B27" s="26" t="n">
        <f aca="false">CHOOSE(B6,'Fixed costs'!$I$24,'Fixed costs'!$J$24,'Fixed costs'!$K$24)</f>
        <v>232.68245</v>
      </c>
      <c r="C27" s="26" t="n">
        <f aca="false">CHOOSE(C6,'Fixed costs'!$I$24,'Fixed costs'!$J$24,'Fixed costs'!$K$24)</f>
        <v>232.68245</v>
      </c>
      <c r="D27" s="26" t="n">
        <f aca="false">CHOOSE(D6,'Fixed costs'!$I$24,'Fixed costs'!$J$24,'Fixed costs'!$K$24)</f>
        <v>232.68245</v>
      </c>
      <c r="E27" s="26" t="n">
        <f aca="false">CHOOSE(E6,'Fixed costs'!$I$24,'Fixed costs'!$J$24,'Fixed costs'!$K$24)</f>
        <v>355.32145</v>
      </c>
      <c r="F27" s="26" t="n">
        <f aca="false">CHOOSE(F6,'Fixed costs'!$I$24,'Fixed costs'!$J$24,'Fixed costs'!$K$24)</f>
        <v>355.32145</v>
      </c>
      <c r="G27" s="26" t="n">
        <f aca="false">CHOOSE(G6,'Fixed costs'!$I$24,'Fixed costs'!$J$24,'Fixed costs'!$K$24)</f>
        <v>355.32145</v>
      </c>
      <c r="H27" s="26" t="n">
        <f aca="false">CHOOSE(H6,'Fixed costs'!$I$24,'Fixed costs'!$J$24,'Fixed costs'!$K$24)</f>
        <v>736.5767</v>
      </c>
      <c r="I27" s="26" t="n">
        <f aca="false">CHOOSE(I6,'Fixed costs'!$I$24,'Fixed costs'!$J$24,'Fixed costs'!$K$24)</f>
        <v>736.5767</v>
      </c>
    </row>
    <row r="28" customFormat="false" ht="15" hidden="false" customHeight="false" outlineLevel="0" collapsed="false">
      <c r="A28" s="7" t="s">
        <v>436</v>
      </c>
      <c r="B28" s="38" t="n">
        <f aca="false">B25+B26+B27</f>
        <v>235.605124</v>
      </c>
      <c r="C28" s="38" t="n">
        <f aca="false">C25+C26+C27</f>
        <v>246.713896</v>
      </c>
      <c r="D28" s="38" t="n">
        <f aca="false">D25+D26+D27</f>
        <v>260.45438</v>
      </c>
      <c r="E28" s="38" t="n">
        <f aca="false">E25+E26+E27</f>
        <v>424.896756</v>
      </c>
      <c r="F28" s="38" t="n">
        <f aca="false">F25+F26+F27</f>
        <v>494.1811</v>
      </c>
      <c r="G28" s="38" t="n">
        <f aca="false">G25+G26+G27</f>
        <v>633.04075</v>
      </c>
      <c r="H28" s="38" t="n">
        <f aca="false">H25+H26+H27</f>
        <v>1430.87495</v>
      </c>
      <c r="I28" s="38" t="n">
        <f aca="false">I25+I26+I27</f>
        <v>2125.1732</v>
      </c>
    </row>
    <row r="30" customFormat="false" ht="15" hidden="false" customHeight="false" outlineLevel="0" collapsed="false">
      <c r="A30" s="3" t="s">
        <v>437</v>
      </c>
      <c r="B30" s="4"/>
      <c r="C30" s="4"/>
      <c r="D30" s="4"/>
      <c r="E30" s="4"/>
      <c r="F30" s="4"/>
      <c r="G30" s="4"/>
      <c r="H30" s="4"/>
      <c r="I30" s="4"/>
    </row>
    <row r="31" customFormat="false" ht="15" hidden="false" customHeight="false" outlineLevel="0" collapsed="false">
      <c r="A31" s="7" t="s">
        <v>438</v>
      </c>
      <c r="B31" s="38" t="n">
        <f aca="false">B17-B28</f>
        <v>-204.758694409534</v>
      </c>
      <c r="C31" s="38" t="n">
        <f aca="false">C17-C28</f>
        <v>-101.373718178658</v>
      </c>
      <c r="D31" s="38" t="n">
        <f aca="false">D17-D28</f>
        <v>25.77999057719</v>
      </c>
      <c r="E31" s="38" t="n">
        <f aca="false">E17-E28</f>
        <v>292.912162975722</v>
      </c>
      <c r="F31" s="38" t="n">
        <f aca="false">F17-F28</f>
        <v>936.99075288595</v>
      </c>
      <c r="G31" s="38" t="n">
        <f aca="false">G17-G28</f>
        <v>1982.91623841653</v>
      </c>
      <c r="H31" s="38" t="n">
        <f aca="false">H17-H28</f>
        <v>5109.01752104132</v>
      </c>
      <c r="I31" s="38" t="n">
        <f aca="false">I17-I28</f>
        <v>10954.6117420826</v>
      </c>
    </row>
    <row r="32" customFormat="false" ht="15" hidden="false" customHeight="false" outlineLevel="0" collapsed="false">
      <c r="A32" s="5" t="s">
        <v>439</v>
      </c>
      <c r="B32" s="26" t="n">
        <f aca="false">MAX(0,B31)*12</f>
        <v>0</v>
      </c>
      <c r="C32" s="26" t="n">
        <f aca="false">MAX(0,C31)*12</f>
        <v>0</v>
      </c>
      <c r="D32" s="26" t="n">
        <f aca="false">MAX(0,D31)*12</f>
        <v>309.35988692628</v>
      </c>
      <c r="E32" s="26" t="n">
        <f aca="false">MAX(0,E31)*12</f>
        <v>3514.94595570866</v>
      </c>
      <c r="F32" s="26" t="n">
        <f aca="false">MAX(0,F31)*12</f>
        <v>11243.8890346314</v>
      </c>
      <c r="G32" s="26" t="n">
        <f aca="false">MAX(0,G31)*12</f>
        <v>23794.9948609983</v>
      </c>
      <c r="H32" s="26" t="n">
        <f aca="false">MAX(0,H31)*12</f>
        <v>61308.2102524959</v>
      </c>
      <c r="I32" s="26" t="n">
        <f aca="false">MAX(0,I31)*12</f>
        <v>131455.340904992</v>
      </c>
    </row>
    <row r="33" customFormat="false" ht="15" hidden="false" customHeight="false" outlineLevel="0" collapsed="false">
      <c r="A33" s="5" t="s">
        <v>440</v>
      </c>
      <c r="B33" s="26" t="n">
        <f aca="false">IF(B32&lt;=Assumptions!$B$41,0,IF(B32&lt;Assumptions!$B$42,Assumptions!$B$43*(B32-Assumptions!$B$41),MAX(4*Assumptions!$B$44,Assumptions!$B$43*B32)))/12</f>
        <v>0</v>
      </c>
      <c r="C33" s="26" t="n">
        <f aca="false">IF(C32&lt;=Assumptions!$B$41,0,IF(C32&lt;Assumptions!$B$42,Assumptions!$B$43*(C32-Assumptions!$B$41),MAX(4*Assumptions!$B$44,Assumptions!$B$43*C32)))/12</f>
        <v>0</v>
      </c>
      <c r="D33" s="26" t="n">
        <f aca="false">IF(D32&lt;=Assumptions!$B$41,0,IF(D32&lt;Assumptions!$B$42,Assumptions!$B$43*(D32-Assumptions!$B$41),MAX(4*Assumptions!$B$44,Assumptions!$B$43*D32)))/12</f>
        <v>0</v>
      </c>
      <c r="E33" s="26" t="n">
        <f aca="false">IF(E32&lt;=Assumptions!$B$41,0,IF(E32&lt;Assumptions!$B$42,Assumptions!$B$43*(E32-Assumptions!$B$41),MAX(4*Assumptions!$B$44,Assumptions!$B$43*E32)))/12</f>
        <v>0</v>
      </c>
      <c r="F33" s="26" t="n">
        <f aca="false">IF(F32&lt;=Assumptions!$B$41,0,IF(F32&lt;Assumptions!$B$42,Assumptions!$B$43*(F32-Assumptions!$B$41),MAX(4*Assumptions!$B$44,Assumptions!$B$43*F32)))/12</f>
        <v>43.6795043416197</v>
      </c>
      <c r="G33" s="26" t="n">
        <f aca="false">IF(G32&lt;=Assumptions!$B$41,0,IF(G32&lt;Assumptions!$B$42,Assumptions!$B$43*(G32-Assumptions!$B$41),MAX(4*Assumptions!$B$44,Assumptions!$B$43*G32)))/12</f>
        <v>406.497828875388</v>
      </c>
      <c r="H33" s="26" t="n">
        <f aca="false">IF(H32&lt;=Assumptions!$B$41,0,IF(H32&lt;Assumptions!$B$42,Assumptions!$B$43*(H32-Assumptions!$B$41),MAX(4*Assumptions!$B$44,Assumptions!$B$43*H32)))/12</f>
        <v>1047.34859181347</v>
      </c>
      <c r="I33" s="26" t="n">
        <f aca="false">IF(I32&lt;=Assumptions!$B$41,0,IF(I32&lt;Assumptions!$B$42,Assumptions!$B$43*(I32-Assumptions!$B$41),MAX(4*Assumptions!$B$44,Assumptions!$B$43*I32)))/12</f>
        <v>2245.69540712694</v>
      </c>
    </row>
    <row r="34" customFormat="false" ht="15" hidden="false" customHeight="false" outlineLevel="0" collapsed="false">
      <c r="A34" s="7" t="s">
        <v>441</v>
      </c>
      <c r="B34" s="38" t="n">
        <f aca="false">B31-B33</f>
        <v>-204.758694409534</v>
      </c>
      <c r="C34" s="38" t="n">
        <f aca="false">C31-C33</f>
        <v>-101.373718178658</v>
      </c>
      <c r="D34" s="38" t="n">
        <f aca="false">D31-D33</f>
        <v>25.77999057719</v>
      </c>
      <c r="E34" s="38" t="n">
        <f aca="false">E31-E33</f>
        <v>292.912162975722</v>
      </c>
      <c r="F34" s="38" t="n">
        <f aca="false">F31-F33</f>
        <v>893.31124854433</v>
      </c>
      <c r="G34" s="38" t="n">
        <f aca="false">G31-G33</f>
        <v>1576.41840954114</v>
      </c>
      <c r="H34" s="38" t="n">
        <f aca="false">H31-H33</f>
        <v>4061.66892922785</v>
      </c>
      <c r="I34" s="38" t="n">
        <f aca="false">I31-I33</f>
        <v>8708.9163349557</v>
      </c>
    </row>
    <row r="35" customFormat="false" ht="15" hidden="false" customHeight="false" outlineLevel="0" collapsed="false">
      <c r="A35" s="5" t="s">
        <v>442</v>
      </c>
      <c r="B35" s="26" t="n">
        <f aca="false">B34*12</f>
        <v>-2457.10433291441</v>
      </c>
      <c r="C35" s="26" t="n">
        <f aca="false">C34*12</f>
        <v>-1216.4846181439</v>
      </c>
      <c r="D35" s="26" t="n">
        <f aca="false">D34*12</f>
        <v>309.35988692628</v>
      </c>
      <c r="E35" s="26" t="n">
        <f aca="false">E34*12</f>
        <v>3514.94595570866</v>
      </c>
      <c r="F35" s="26" t="n">
        <f aca="false">F34*12</f>
        <v>10719.734982532</v>
      </c>
      <c r="G35" s="26" t="n">
        <f aca="false">G34*12</f>
        <v>18917.0209144937</v>
      </c>
      <c r="H35" s="26" t="n">
        <f aca="false">H34*12</f>
        <v>48740.0271507342</v>
      </c>
      <c r="I35" s="26" t="n">
        <f aca="false">I34*12</f>
        <v>104506.996019468</v>
      </c>
    </row>
    <row r="36" customFormat="false" ht="15" hidden="false" customHeight="false" outlineLevel="0" collapsed="false">
      <c r="A36" s="5" t="s">
        <v>443</v>
      </c>
      <c r="B36" s="50" t="str">
        <f aca="false">IF(B32&lt;Assumptions!$B$42,"yes","no: full-time rates")</f>
        <v>yes</v>
      </c>
      <c r="C36" s="50" t="str">
        <f aca="false">IF(C32&lt;Assumptions!$B$42,"yes","no: full-time rates")</f>
        <v>yes</v>
      </c>
      <c r="D36" s="50" t="str">
        <f aca="false">IF(D32&lt;Assumptions!$B$42,"yes","no: full-time rates")</f>
        <v>yes</v>
      </c>
      <c r="E36" s="50" t="str">
        <f aca="false">IF(E32&lt;Assumptions!$B$42,"yes","no: full-time rates")</f>
        <v>yes</v>
      </c>
      <c r="F36" s="50" t="str">
        <f aca="false">IF(F32&lt;Assumptions!$B$42,"yes","no: full-time rates")</f>
        <v>yes</v>
      </c>
      <c r="G36" s="50" t="str">
        <f aca="false">IF(G32&lt;Assumptions!$B$42,"yes","no: full-time rates")</f>
        <v>no: full-time rates</v>
      </c>
      <c r="H36" s="50" t="str">
        <f aca="false">IF(H32&lt;Assumptions!$B$42,"yes","no: full-time rates")</f>
        <v>no: full-time rates</v>
      </c>
      <c r="I36" s="50" t="str">
        <f aca="false">IF(I32&lt;Assumptions!$B$42,"yes","no: full-time rates")</f>
        <v>no: full-time rates</v>
      </c>
    </row>
    <row r="38" customFormat="false" ht="15" hidden="false" customHeight="false" outlineLevel="0" collapsed="false">
      <c r="A38" s="3" t="s">
        <v>444</v>
      </c>
      <c r="B38" s="4"/>
      <c r="C38" s="4"/>
      <c r="D38" s="4"/>
      <c r="E38" s="4"/>
      <c r="F38" s="4"/>
      <c r="G38" s="4"/>
      <c r="H38" s="4"/>
      <c r="I38" s="4"/>
    </row>
    <row r="39" customFormat="false" ht="15" hidden="false" customHeight="false" outlineLevel="0" collapsed="false">
      <c r="A39" s="5" t="s">
        <v>445</v>
      </c>
      <c r="B39" s="26" t="n">
        <f aca="false">IF(B5=0,0,B28/B5)</f>
        <v>2.35605124</v>
      </c>
      <c r="C39" s="26" t="n">
        <f aca="false">IF(C5=0,0,C28/C5)</f>
        <v>0.493427792</v>
      </c>
      <c r="D39" s="26" t="n">
        <f aca="false">IF(D5=0,0,D28/D5)</f>
        <v>0.26045438</v>
      </c>
      <c r="E39" s="26" t="n">
        <f aca="false">IF(E5=0,0,E28/E5)</f>
        <v>0.1699587024</v>
      </c>
      <c r="F39" s="26" t="n">
        <f aca="false">IF(F5=0,0,F28/F5)</f>
        <v>0.09883622</v>
      </c>
      <c r="G39" s="26" t="n">
        <f aca="false">IF(G5=0,0,G28/G5)</f>
        <v>0.063304075</v>
      </c>
      <c r="H39" s="26" t="n">
        <f aca="false">IF(H5=0,0,H28/H5)</f>
        <v>0.057234998</v>
      </c>
      <c r="I39" s="26" t="n">
        <f aca="false">IF(I5=0,0,I28/I5)</f>
        <v>0.042503464</v>
      </c>
    </row>
    <row r="40" customFormat="false" ht="15" hidden="false" customHeight="false" outlineLevel="0" collapsed="false">
      <c r="A40" s="5" t="s">
        <v>446</v>
      </c>
      <c r="B40" s="26" t="n">
        <f aca="false">IF(B10=0,0,B28/B10)</f>
        <v>39.2675206666667</v>
      </c>
      <c r="C40" s="26" t="n">
        <f aca="false">IF(C10=0,0,C28/C10)</f>
        <v>8.81121057142857</v>
      </c>
      <c r="D40" s="26" t="n">
        <f aca="false">IF(D10=0,0,D28/D10)</f>
        <v>4.73553418181818</v>
      </c>
      <c r="E40" s="26" t="n">
        <f aca="false">IF(E10=0,0,E28/E10)</f>
        <v>3.078962</v>
      </c>
      <c r="F40" s="26" t="n">
        <f aca="false">IF(F10=0,0,F28/F10)</f>
        <v>1.79702218181818</v>
      </c>
      <c r="G40" s="26" t="n">
        <f aca="false">IF(G10=0,0,G28/G10)</f>
        <v>1.15098318181818</v>
      </c>
      <c r="H40" s="26" t="n">
        <f aca="false">IF(H10=0,0,H28/H10)</f>
        <v>1.04063632727273</v>
      </c>
      <c r="I40" s="26" t="n">
        <f aca="false">IF(I10=0,0,I28/I10)</f>
        <v>0.772790254545455</v>
      </c>
    </row>
    <row r="41" customFormat="false" ht="15" hidden="false" customHeight="false" outlineLevel="0" collapsed="false">
      <c r="A41" s="5" t="s">
        <v>447</v>
      </c>
      <c r="B41" s="26" t="n">
        <f aca="false">IF(B10=0,0,B17/B10)</f>
        <v>5.14107159841093</v>
      </c>
      <c r="C41" s="26" t="n">
        <f aca="false">IF(C10=0,0,C17/C10)</f>
        <v>5.19072063647649</v>
      </c>
      <c r="D41" s="26" t="n">
        <f aca="false">IF(D10=0,0,D17/D10)</f>
        <v>5.20426128322164</v>
      </c>
      <c r="E41" s="26" t="n">
        <f aca="false">IF(E10=0,0,E17/E10)</f>
        <v>5.20151390562117</v>
      </c>
      <c r="F41" s="26" t="n">
        <f aca="false">IF(F10=0,0,F17/F10)</f>
        <v>5.20426128322164</v>
      </c>
      <c r="G41" s="26" t="n">
        <f aca="false">IF(G10=0,0,G17/G10)</f>
        <v>4.7562854334846</v>
      </c>
      <c r="H41" s="26" t="n">
        <f aca="false">IF(H10=0,0,H17/H10)</f>
        <v>4.7562854334846</v>
      </c>
      <c r="I41" s="26" t="n">
        <f aca="false">IF(I10=0,0,I17/I10)</f>
        <v>4.7562854334846</v>
      </c>
    </row>
    <row r="42" customFormat="false" ht="15" hidden="false" customHeight="false" outlineLevel="0" collapsed="false">
      <c r="A42" s="5" t="s">
        <v>448</v>
      </c>
      <c r="B42" s="26" t="n">
        <f aca="false">Assumptions!$B$35</f>
        <v>0.01</v>
      </c>
      <c r="C42" s="26" t="n">
        <f aca="false">Assumptions!$B$35</f>
        <v>0.01</v>
      </c>
      <c r="D42" s="26" t="n">
        <f aca="false">Assumptions!$B$35</f>
        <v>0.01</v>
      </c>
      <c r="E42" s="26" t="n">
        <f aca="false">Assumptions!$B$35</f>
        <v>0.01</v>
      </c>
      <c r="F42" s="26" t="n">
        <f aca="false">Assumptions!$B$35</f>
        <v>0.01</v>
      </c>
      <c r="G42" s="26" t="n">
        <f aca="false">Assumptions!$B$35</f>
        <v>0.01</v>
      </c>
      <c r="H42" s="26" t="n">
        <f aca="false">Assumptions!$B$35</f>
        <v>0.01</v>
      </c>
      <c r="I42" s="26" t="n">
        <f aca="false">Assumptions!$B$35</f>
        <v>0.01</v>
      </c>
    </row>
    <row r="43" customFormat="false" ht="15" hidden="false" customHeight="false" outlineLevel="0" collapsed="false">
      <c r="A43" s="5" t="s">
        <v>449</v>
      </c>
      <c r="B43" s="27" t="n">
        <f aca="false">IF(B17=0,0,B31/B17)</f>
        <v>-6.63800307290099</v>
      </c>
      <c r="C43" s="27" t="n">
        <f aca="false">IF(C17=0,0,C31/C17)</f>
        <v>-0.69749273530731</v>
      </c>
      <c r="D43" s="27" t="n">
        <f aca="false">IF(D17=0,0,D31/D17)</f>
        <v>0.0900660201121368</v>
      </c>
      <c r="E43" s="27" t="n">
        <f aca="false">IF(E17=0,0,E31/E17)</f>
        <v>0.40806425670176</v>
      </c>
      <c r="F43" s="27" t="n">
        <f aca="false">IF(F17=0,0,F31/F17)</f>
        <v>0.654701775329436</v>
      </c>
      <c r="G43" s="27" t="n">
        <f aca="false">IF(G17=0,0,G31/G17)</f>
        <v>0.758007966949339</v>
      </c>
      <c r="H43" s="27" t="n">
        <f aca="false">IF(H17=0,0,H31/H17)</f>
        <v>0.781208184028113</v>
      </c>
      <c r="I43" s="27" t="n">
        <f aca="false">IF(I17=0,0,I31/I17)</f>
        <v>0.837522313294119</v>
      </c>
    </row>
    <row r="45" customFormat="false" ht="15" hidden="false" customHeight="false" outlineLevel="0" collapsed="false">
      <c r="A45" s="3" t="s">
        <v>450</v>
      </c>
      <c r="B45" s="4"/>
      <c r="C45" s="4"/>
      <c r="D45" s="4"/>
      <c r="E45" s="4"/>
      <c r="F45" s="4"/>
      <c r="G45" s="4"/>
      <c r="H45" s="4"/>
      <c r="I45" s="4"/>
    </row>
    <row r="46" customFormat="false" ht="15" hidden="false" customHeight="false" outlineLevel="0" collapsed="false">
      <c r="A46" s="5" t="s">
        <v>451</v>
      </c>
      <c r="B46" s="26" t="n">
        <f aca="false">B8*'Unit economics'!$Q$11+B9*'Unit economics'!$Q$12</f>
        <v>17.9914537</v>
      </c>
      <c r="C46" s="26" t="n">
        <f aca="false">C8*'Unit economics'!$Q$11+C9*'Unit economics'!$Q$12</f>
        <v>84.7744800738</v>
      </c>
      <c r="D46" s="26" t="n">
        <f aca="false">D8*'Unit economics'!$Q$11+D9*'Unit economics'!$Q$12</f>
        <v>166.9575659345</v>
      </c>
      <c r="E46" s="26" t="n">
        <f aca="false">E8*'Unit economics'!$Q$11+E9*'Unit economics'!$Q$12</f>
        <v>418.6896119428</v>
      </c>
      <c r="F46" s="26" t="n">
        <f aca="false">F8*'Unit economics'!$Q$11+F9*'Unit economics'!$Q$12</f>
        <v>834.7878296725</v>
      </c>
      <c r="G46" s="26" t="n">
        <f aca="false">G8*'Unit economics'!$Q$11+G9*'Unit economics'!$Q$12</f>
        <v>1669.575659345</v>
      </c>
      <c r="H46" s="26" t="n">
        <f aca="false">H8*'Unit economics'!$Q$11+H9*'Unit economics'!$Q$12</f>
        <v>4173.9391483625</v>
      </c>
      <c r="I46" s="26" t="n">
        <f aca="false">I8*'Unit economics'!$Q$11+I9*'Unit economics'!$Q$12</f>
        <v>8347.878296725</v>
      </c>
    </row>
    <row r="47" customFormat="false" ht="15" hidden="false" customHeight="false" outlineLevel="0" collapsed="false">
      <c r="A47" s="7" t="s">
        <v>452</v>
      </c>
      <c r="B47" s="41" t="n">
        <f aca="false">B17-(B46+B26+B27)</f>
        <v>-220.887474109534</v>
      </c>
      <c r="C47" s="41" t="n">
        <f aca="false">C17-(C46+C26+C27)</f>
        <v>-177.396752252458</v>
      </c>
      <c r="D47" s="41" t="n">
        <f aca="false">D17-(D46+D26+D27)</f>
        <v>-123.95564535731</v>
      </c>
      <c r="E47" s="41" t="n">
        <f aca="false">E17-(E46+E26+E27)</f>
        <v>-82.5821429670781</v>
      </c>
      <c r="F47" s="41" t="n">
        <f aca="false">F17-(F46+F26+F27)</f>
        <v>188.31257321345</v>
      </c>
      <c r="G47" s="41" t="n">
        <f aca="false">G17-(G46+G26+G27)</f>
        <v>485.559879071529</v>
      </c>
      <c r="H47" s="41" t="n">
        <f aca="false">H17-(H46+H26+H27)</f>
        <v>1365.62662267882</v>
      </c>
      <c r="I47" s="41" t="n">
        <f aca="false">I17-(I46+I26+I27)</f>
        <v>3467.82994535765</v>
      </c>
    </row>
    <row r="49" customFormat="false" ht="15" hidden="false" customHeight="false" outlineLevel="0" collapsed="false">
      <c r="A49" s="25" t="s">
        <v>453</v>
      </c>
    </row>
    <row r="50" customFormat="false" ht="15" hidden="false" customHeight="false" outlineLevel="0" collapsed="false">
      <c r="A50" s="25" t="s">
        <v>454</v>
      </c>
    </row>
    <row r="51" customFormat="false" ht="15" hidden="false" customHeight="false" outlineLevel="0" collapsed="false">
      <c r="A51" s="25" t="s">
        <v>455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26"/>
    <col collapsed="false" customWidth="true" hidden="false" outlineLevel="0" max="4" min="4" style="0" width="24"/>
    <col collapsed="false" customWidth="true" hidden="false" outlineLevel="0" max="5" min="5" style="0" width="42"/>
    <col collapsed="false" customWidth="true" hidden="false" outlineLevel="0" max="6" min="6" style="0" width="52"/>
  </cols>
  <sheetData>
    <row r="1" customFormat="false" ht="17.35" hidden="false" customHeight="false" outlineLevel="0" collapsed="false">
      <c r="A1" s="1" t="s">
        <v>456</v>
      </c>
    </row>
    <row r="2" customFormat="false" ht="15" hidden="false" customHeight="false" outlineLevel="0" collapsed="false">
      <c r="A2" s="2" t="s">
        <v>457</v>
      </c>
    </row>
    <row r="4" customFormat="false" ht="15" hidden="false" customHeight="false" outlineLevel="0" collapsed="false">
      <c r="A4" s="13" t="s">
        <v>458</v>
      </c>
      <c r="B4" s="13" t="s">
        <v>459</v>
      </c>
      <c r="C4" s="13" t="s">
        <v>137</v>
      </c>
      <c r="D4" s="13" t="s">
        <v>140</v>
      </c>
      <c r="E4" s="13" t="s">
        <v>460</v>
      </c>
      <c r="F4" s="13" t="s">
        <v>461</v>
      </c>
    </row>
    <row r="5" customFormat="false" ht="26.85" hidden="false" customHeight="false" outlineLevel="0" collapsed="false">
      <c r="A5" s="51" t="s">
        <v>462</v>
      </c>
      <c r="B5" s="15" t="s">
        <v>463</v>
      </c>
      <c r="C5" s="15" t="s">
        <v>464</v>
      </c>
      <c r="D5" s="15" t="s">
        <v>465</v>
      </c>
      <c r="E5" s="15" t="s">
        <v>466</v>
      </c>
      <c r="F5" s="15" t="s">
        <v>467</v>
      </c>
    </row>
    <row r="6" customFormat="false" ht="27.6" hidden="false" customHeight="false" outlineLevel="0" collapsed="false">
      <c r="A6" s="51" t="s">
        <v>468</v>
      </c>
      <c r="B6" s="15" t="s">
        <v>459</v>
      </c>
      <c r="C6" s="15" t="s">
        <v>137</v>
      </c>
      <c r="D6" s="15" t="s">
        <v>140</v>
      </c>
      <c r="E6" s="15" t="s">
        <v>469</v>
      </c>
      <c r="F6" s="15" t="s">
        <v>470</v>
      </c>
    </row>
    <row r="7" customFormat="false" ht="26.85" hidden="false" customHeight="false" outlineLevel="0" collapsed="false">
      <c r="A7" s="51" t="s">
        <v>471</v>
      </c>
      <c r="B7" s="15" t="s">
        <v>472</v>
      </c>
      <c r="C7" s="15" t="s">
        <v>473</v>
      </c>
      <c r="D7" s="15" t="s">
        <v>473</v>
      </c>
      <c r="E7" s="15" t="s">
        <v>474</v>
      </c>
      <c r="F7" s="15" t="s">
        <v>475</v>
      </c>
    </row>
    <row r="8" customFormat="false" ht="15" hidden="false" customHeight="false" outlineLevel="0" collapsed="false">
      <c r="A8" s="51" t="s">
        <v>476</v>
      </c>
      <c r="B8" s="15" t="s">
        <v>477</v>
      </c>
      <c r="C8" s="15" t="s">
        <v>477</v>
      </c>
      <c r="D8" s="15" t="s">
        <v>158</v>
      </c>
      <c r="E8" s="15" t="s">
        <v>478</v>
      </c>
      <c r="F8" s="15" t="s">
        <v>479</v>
      </c>
    </row>
    <row r="9" customFormat="false" ht="26.85" hidden="false" customHeight="false" outlineLevel="0" collapsed="false">
      <c r="A9" s="51" t="s">
        <v>480</v>
      </c>
      <c r="B9" s="15" t="s">
        <v>481</v>
      </c>
      <c r="C9" s="15" t="s">
        <v>481</v>
      </c>
      <c r="D9" s="15" t="s">
        <v>482</v>
      </c>
      <c r="E9" s="15" t="s">
        <v>483</v>
      </c>
      <c r="F9" s="15" t="s">
        <v>484</v>
      </c>
    </row>
    <row r="10" customFormat="false" ht="52.2" hidden="false" customHeight="false" outlineLevel="0" collapsed="false">
      <c r="A10" s="51" t="s">
        <v>485</v>
      </c>
      <c r="B10" s="15" t="s">
        <v>158</v>
      </c>
      <c r="C10" s="15" t="s">
        <v>486</v>
      </c>
      <c r="D10" s="15" t="s">
        <v>487</v>
      </c>
      <c r="E10" s="15" t="s">
        <v>488</v>
      </c>
      <c r="F10" s="15" t="s">
        <v>489</v>
      </c>
    </row>
    <row r="11" customFormat="false" ht="39.55" hidden="false" customHeight="false" outlineLevel="0" collapsed="false">
      <c r="A11" s="51" t="s">
        <v>490</v>
      </c>
      <c r="B11" s="15" t="s">
        <v>158</v>
      </c>
      <c r="C11" s="15" t="s">
        <v>491</v>
      </c>
      <c r="D11" s="15" t="s">
        <v>492</v>
      </c>
      <c r="E11" s="15" t="s">
        <v>493</v>
      </c>
      <c r="F11" s="15" t="s">
        <v>494</v>
      </c>
    </row>
    <row r="12" customFormat="false" ht="26.85" hidden="false" customHeight="false" outlineLevel="0" collapsed="false">
      <c r="A12" s="51" t="s">
        <v>495</v>
      </c>
      <c r="B12" s="15" t="s">
        <v>158</v>
      </c>
      <c r="C12" s="15" t="s">
        <v>496</v>
      </c>
      <c r="D12" s="15" t="s">
        <v>497</v>
      </c>
      <c r="E12" s="15" t="s">
        <v>498</v>
      </c>
      <c r="F12" s="15" t="s">
        <v>499</v>
      </c>
    </row>
    <row r="13" customFormat="false" ht="27.6" hidden="false" customHeight="false" outlineLevel="0" collapsed="false">
      <c r="A13" s="51" t="s">
        <v>500</v>
      </c>
      <c r="B13" s="15" t="s">
        <v>158</v>
      </c>
      <c r="C13" s="15" t="s">
        <v>501</v>
      </c>
      <c r="D13" s="15" t="s">
        <v>502</v>
      </c>
      <c r="E13" s="15" t="s">
        <v>503</v>
      </c>
      <c r="F13" s="15" t="s">
        <v>504</v>
      </c>
    </row>
    <row r="14" customFormat="false" ht="26.85" hidden="false" customHeight="false" outlineLevel="0" collapsed="false">
      <c r="A14" s="51" t="s">
        <v>505</v>
      </c>
      <c r="B14" s="15" t="s">
        <v>158</v>
      </c>
      <c r="C14" s="15" t="s">
        <v>506</v>
      </c>
      <c r="D14" s="15" t="s">
        <v>507</v>
      </c>
      <c r="E14" s="15" t="s">
        <v>508</v>
      </c>
      <c r="F14" s="15" t="s">
        <v>509</v>
      </c>
    </row>
    <row r="15" customFormat="false" ht="15" hidden="false" customHeight="false" outlineLevel="0" collapsed="false">
      <c r="A15" s="51" t="s">
        <v>510</v>
      </c>
      <c r="B15" s="15" t="s">
        <v>511</v>
      </c>
      <c r="C15" s="15" t="s">
        <v>512</v>
      </c>
      <c r="D15" s="15" t="s">
        <v>513</v>
      </c>
      <c r="E15" s="15" t="s">
        <v>514</v>
      </c>
      <c r="F15" s="15" t="s">
        <v>515</v>
      </c>
    </row>
    <row r="16" customFormat="false" ht="15" hidden="false" customHeight="false" outlineLevel="0" collapsed="false">
      <c r="A16" s="51" t="s">
        <v>516</v>
      </c>
      <c r="B16" s="15" t="s">
        <v>517</v>
      </c>
      <c r="C16" s="15" t="s">
        <v>518</v>
      </c>
      <c r="D16" s="15" t="s">
        <v>519</v>
      </c>
      <c r="E16" s="15" t="s">
        <v>520</v>
      </c>
      <c r="F16" s="15" t="s">
        <v>521</v>
      </c>
    </row>
    <row r="17" customFormat="false" ht="15" hidden="false" customHeight="false" outlineLevel="0" collapsed="false">
      <c r="A17" s="51" t="s">
        <v>522</v>
      </c>
      <c r="B17" s="15" t="s">
        <v>233</v>
      </c>
      <c r="C17" s="15" t="s">
        <v>233</v>
      </c>
      <c r="D17" s="15" t="s">
        <v>233</v>
      </c>
      <c r="E17" s="15" t="s">
        <v>523</v>
      </c>
      <c r="F17" s="15" t="s">
        <v>524</v>
      </c>
    </row>
    <row r="18" customFormat="false" ht="52.2" hidden="false" customHeight="false" outlineLevel="0" collapsed="false">
      <c r="A18" s="51" t="s">
        <v>525</v>
      </c>
      <c r="B18" s="15" t="s">
        <v>158</v>
      </c>
      <c r="C18" s="15" t="s">
        <v>526</v>
      </c>
      <c r="D18" s="15" t="s">
        <v>527</v>
      </c>
      <c r="E18" s="15" t="s">
        <v>528</v>
      </c>
      <c r="F18" s="15" t="s">
        <v>529</v>
      </c>
    </row>
    <row r="19" customFormat="false" ht="15" hidden="false" customHeight="false" outlineLevel="0" collapsed="false">
      <c r="A19" s="51" t="s">
        <v>530</v>
      </c>
      <c r="B19" s="15" t="s">
        <v>531</v>
      </c>
      <c r="C19" s="15" t="s">
        <v>531</v>
      </c>
      <c r="D19" s="15" t="s">
        <v>158</v>
      </c>
      <c r="E19" s="15" t="s">
        <v>532</v>
      </c>
      <c r="F19" s="15" t="s">
        <v>533</v>
      </c>
    </row>
    <row r="20" customFormat="false" ht="26.85" hidden="false" customHeight="false" outlineLevel="0" collapsed="false">
      <c r="A20" s="51" t="s">
        <v>534</v>
      </c>
      <c r="B20" s="15" t="s">
        <v>158</v>
      </c>
      <c r="C20" s="15" t="s">
        <v>535</v>
      </c>
      <c r="D20" s="15" t="s">
        <v>535</v>
      </c>
      <c r="E20" s="15" t="s">
        <v>532</v>
      </c>
      <c r="F20" s="15" t="s">
        <v>536</v>
      </c>
    </row>
    <row r="21" customFormat="false" ht="52.2" hidden="false" customHeight="false" outlineLevel="0" collapsed="false">
      <c r="A21" s="51" t="s">
        <v>537</v>
      </c>
      <c r="B21" s="15" t="s">
        <v>158</v>
      </c>
      <c r="C21" s="15" t="s">
        <v>538</v>
      </c>
      <c r="D21" s="15" t="s">
        <v>539</v>
      </c>
      <c r="E21" s="15" t="s">
        <v>540</v>
      </c>
      <c r="F21" s="15" t="s">
        <v>541</v>
      </c>
    </row>
    <row r="23" customFormat="false" ht="15" hidden="false" customHeight="false" outlineLevel="0" collapsed="false">
      <c r="A23" s="3" t="s">
        <v>542</v>
      </c>
      <c r="B23" s="4"/>
      <c r="C23" s="4"/>
      <c r="D23" s="4"/>
      <c r="E23" s="4"/>
      <c r="F23" s="4"/>
    </row>
    <row r="24" customFormat="false" ht="31.5" hidden="false" customHeight="true" outlineLevel="0" collapsed="false">
      <c r="A24" s="5" t="n">
        <v>1</v>
      </c>
      <c r="B24" s="30" t="s">
        <v>543</v>
      </c>
      <c r="C24" s="30"/>
      <c r="D24" s="30"/>
      <c r="E24" s="30"/>
      <c r="F24" s="30"/>
    </row>
    <row r="25" customFormat="false" ht="31.5" hidden="false" customHeight="true" outlineLevel="0" collapsed="false">
      <c r="A25" s="5" t="n">
        <v>2</v>
      </c>
      <c r="B25" s="30" t="s">
        <v>544</v>
      </c>
      <c r="C25" s="30"/>
      <c r="D25" s="30"/>
      <c r="E25" s="30"/>
      <c r="F25" s="30"/>
    </row>
    <row r="26" customFormat="false" ht="31.5" hidden="false" customHeight="true" outlineLevel="0" collapsed="false">
      <c r="A26" s="5" t="n">
        <v>3</v>
      </c>
      <c r="B26" s="30" t="s">
        <v>545</v>
      </c>
      <c r="C26" s="30"/>
      <c r="D26" s="30"/>
      <c r="E26" s="30"/>
      <c r="F26" s="30"/>
    </row>
    <row r="27" customFormat="false" ht="31.5" hidden="false" customHeight="true" outlineLevel="0" collapsed="false">
      <c r="A27" s="5" t="n">
        <v>4</v>
      </c>
      <c r="B27" s="30" t="s">
        <v>546</v>
      </c>
      <c r="C27" s="30"/>
      <c r="D27" s="30"/>
      <c r="E27" s="30"/>
      <c r="F27" s="30"/>
    </row>
    <row r="28" customFormat="false" ht="31.5" hidden="false" customHeight="true" outlineLevel="0" collapsed="false">
      <c r="A28" s="5" t="n">
        <v>5</v>
      </c>
      <c r="B28" s="30" t="s">
        <v>547</v>
      </c>
      <c r="C28" s="30"/>
      <c r="D28" s="30"/>
      <c r="E28" s="30"/>
      <c r="F28" s="30"/>
    </row>
    <row r="29" customFormat="false" ht="31.5" hidden="false" customHeight="true" outlineLevel="0" collapsed="false">
      <c r="A29" s="5" t="n">
        <v>6</v>
      </c>
      <c r="B29" s="30" t="s">
        <v>548</v>
      </c>
      <c r="C29" s="30"/>
      <c r="D29" s="30"/>
      <c r="E29" s="30"/>
      <c r="F29" s="30"/>
    </row>
    <row r="30" customFormat="false" ht="31.5" hidden="false" customHeight="true" outlineLevel="0" collapsed="false">
      <c r="A30" s="5" t="n">
        <v>7</v>
      </c>
      <c r="B30" s="30" t="s">
        <v>549</v>
      </c>
      <c r="C30" s="30"/>
      <c r="D30" s="30"/>
      <c r="E30" s="30"/>
      <c r="F30" s="30"/>
    </row>
  </sheetData>
  <mergeCells count="7">
    <mergeCell ref="B24:F24"/>
    <mergeCell ref="B25:F25"/>
    <mergeCell ref="B26:F26"/>
    <mergeCell ref="B27:F27"/>
    <mergeCell ref="B28:F28"/>
    <mergeCell ref="B29:F29"/>
    <mergeCell ref="B30:F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2026-09-29T12:47:01Z</dcterms:created>
  <dc:creator>openpyxl</dc:creator>
  <dc:description/>
  <dc:language>en-US</dc:language>
  <cp:lastModifiedBy/>
  <dcterms:modified xsi:type="dcterms:W3CDTF">2026-09-29T12:47:03Z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