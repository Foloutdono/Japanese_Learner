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Pricing" sheetId="3" state="visible" r:id="rId5"/>
    <sheet name="Credit shop" sheetId="4" state="visible" r:id="rId6"/>
    <sheet name="AI worst case" sheetId="5" state="visible" r:id="rId7"/>
    <sheet name="Start-up costs" sheetId="6" state="visible" r:id="rId8"/>
    <sheet name="Fixed costs" sheetId="7" state="visible" r:id="rId9"/>
    <sheet name="Unit economics" sheetId="8" state="visible" r:id="rId10"/>
    <sheet name="Projection" sheetId="9" state="visible" r:id="rId11"/>
    <sheet name="Offer review"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<sst xmlns="http://schemas.openxmlformats.org/spreadsheetml/2006/main" count="903" uniqueCount="687">
  <si>
    <t xml:space="preserve">Tsuji — cost overview</t>
  </si>
  <si>
    <t xml:space="preserve">All figures in €. Green = pulled from another sheet. Status: student self-employed (étudiant-indépendant), VAT-exempt while eligible.</t>
  </si>
  <si>
    <t xml:space="preserve">Prices (VAT included)</t>
  </si>
  <si>
    <t xml:space="preserve">Pro – monthly / annual</t>
  </si>
  <si>
    <t xml:space="preserve">Max – monthly / annual</t>
  </si>
  <si>
    <t xml:space="preserve">To start (one-off)</t>
  </si>
  <si>
    <t xml:space="preserve">Start-up costs – required items, expected</t>
  </si>
  <si>
    <t xml:space="preserve">Start-up costs – including optional items (EU trademark, Mac, marketing…)</t>
  </si>
  <si>
    <t xml:space="preserve">Fixed costs per month</t>
  </si>
  <si>
    <t xml:space="preserve">Launch stage</t>
  </si>
  <si>
    <t xml:space="preserve">Growth stage</t>
  </si>
  <si>
    <t xml:space="preserve">Scale stage</t>
  </si>
  <si>
    <t xml:space="preserve">First 12 months before any revenue (start-up + 12 × Launch)</t>
  </si>
  <si>
    <t xml:space="preserve">Per subscriber, per month (after VAT, fees, LLM, infrastructure)</t>
  </si>
  <si>
    <t xml:space="preserve">Pro – contribution margin (blended monthly/annual)</t>
  </si>
  <si>
    <t xml:space="preserve">Max – contribution margin (blended)</t>
  </si>
  <si>
    <t xml:space="preserve">All payers – contribution margin</t>
  </si>
  <si>
    <t xml:space="preserve">All payers – margin, worst-case LLM</t>
  </si>
  <si>
    <t xml:space="preserve">One free user – variable cost (infrastructure and AI)</t>
  </si>
  <si>
    <t xml:space="preserve">Break-even at the Launch stage (conservative, with VAT on web sales)</t>
  </si>
  <si>
    <t xml:space="preserve">Paying users needed</t>
  </si>
  <si>
    <t xml:space="preserve">Active users needed (at the assumed conversion)</t>
  </si>
  <si>
    <t xml:space="preserve">Projection (from the 'Projection' sheet)</t>
  </si>
  <si>
    <t xml:space="preserve">Active users</t>
  </si>
  <si>
    <t xml:space="preserve">Net revenue / month</t>
  </si>
  <si>
    <t xml:space="preserve">Total costs / month</t>
  </si>
  <si>
    <t xml:space="preserve">Social contributions / month</t>
  </si>
  <si>
    <t xml:space="preserve">Result after social contributions / month</t>
  </si>
  <si>
    <t xml:space="preserve">VAT exemption applies? (1 = yes)</t>
  </si>
  <si>
    <t xml:space="preserve">Still within the student status?</t>
  </si>
  <si>
    <t xml:space="preserve">Cost per active user / month</t>
  </si>
  <si>
    <t xml:space="preserve">Cost per paying user / month</t>
  </si>
  <si>
    <t xml:space="preserve">Where we are, and the end-2026 goal</t>
  </si>
  <si>
    <t xml:space="preserve">Active users today (early access)</t>
  </si>
  <si>
    <t xml:space="preserve">Active users needed to break even (Launch stage)</t>
  </si>
  <si>
    <t xml:space="preserve">… growth needed from today</t>
  </si>
  <si>
    <t xml:space="preserve">Days left to the target date</t>
  </si>
  <si>
    <t xml:space="preserve">Active users to add per day to get there</t>
  </si>
  <si>
    <t xml:space="preserve">Assumptions</t>
  </si>
  <si>
    <t xml:space="preserve">Blue = input you can change · yellow = key assumption to check · every other sheet reads from here.</t>
  </si>
  <si>
    <t xml:space="preserve">Parameter</t>
  </si>
  <si>
    <t xml:space="preserve">Value</t>
  </si>
  <si>
    <t xml:space="preserve">Unit</t>
  </si>
  <si>
    <t xml:space="preserve">Source / note</t>
  </si>
  <si>
    <t xml:space="preserve">General</t>
  </si>
  <si>
    <t xml:space="preserve">Exchange rate USD → EUR</t>
  </si>
  <si>
    <t xml:space="preserve">€ per $</t>
  </si>
  <si>
    <t xml:space="preserve">Most providers bill in USD. Set to the current rate.</t>
  </si>
  <si>
    <t xml:space="preserve">VAT rate on consumer sales</t>
  </si>
  <si>
    <t xml:space="preserve">%</t>
  </si>
  <si>
    <t xml:space="preserve">Belgium 21%. Buyers elsewhere in the EU pay their country's rate through the OSS (FR 20%, DE 19%...). Prices are VAT-inclusive.</t>
  </si>
  <si>
    <t xml:space="preserve">VAT you pay on services bought abroad, and can't deduct</t>
  </si>
  <si>
    <t xml:space="preserve">Under the small-business VAT exemption you can't deduct VAT. Services from outside Belgium (Render, Vercel, Supabase, Google AI, Apple...) are taxed through the reverse charge at 21% and cost 21% more. Set to 0% once you register for VAT normally. Check this with your accountant.</t>
  </si>
  <si>
    <t xml:space="preserve">Prices (VAT included) – see the 'Pricing' sheet</t>
  </si>
  <si>
    <t xml:space="preserve">Pro – monthly</t>
  </si>
  <si>
    <t xml:space="preserve">€ / month</t>
  </si>
  <si>
    <t xml:space="preserve">Owner's decision, 26 Oct 2026 (new monetisation strategy). Previous proposal €8.99; first grid €8.</t>
  </si>
  <si>
    <t xml:space="preserve">Pro – annual</t>
  </si>
  <si>
    <t xml:space="preserve">€ / year</t>
  </si>
  <si>
    <t xml:space="preserve">Owner's decision, 26 Oct 2026. Previous proposal €59.99. Saves 17% against 12 × monthly ('Pricing').</t>
  </si>
  <si>
    <t xml:space="preserve">Max – monthly</t>
  </si>
  <si>
    <t xml:space="preserve">Owner's decision, 26 Oct 2026. Previous proposal €14.99.</t>
  </si>
  <si>
    <t xml:space="preserve">Max – annual</t>
  </si>
  <si>
    <t xml:space="preserve">Owner's decision, 26 Oct 2026. Previous proposal €99.99. Only €10 a year above Pro annual ('Pricing').</t>
  </si>
  <si>
    <t xml:space="preserve">Who pays, and how</t>
  </si>
  <si>
    <t xml:space="preserve">Share of active users on Pro</t>
  </si>
  <si>
    <t xml:space="preserve">% of MAU</t>
  </si>
  <si>
    <t xml:space="preserve">Freemium language apps typically convert 2–8% of active users. Replace with real data after launch.</t>
  </si>
  <si>
    <t xml:space="preserve">Share of active users on Max</t>
  </si>
  <si>
    <t xml:space="preserve">Max is sold mainly as an upgrade when a Pro user reaches a limit. With Max annual only €10 above Pro annual, more payers may pick Max: re-check with real data.</t>
  </si>
  <si>
    <t xml:space="preserve">Share of Pro payers on the annual plan</t>
  </si>
  <si>
    <t xml:space="preserve">% of Pro payers</t>
  </si>
  <si>
    <t xml:space="preserve">The goal: most Pro buyers choose the annual plan (pre-selected, '€5 a month', trial on annual only).</t>
  </si>
  <si>
    <t xml:space="preserve">Share of Max payers on the annual plan</t>
  </si>
  <si>
    <t xml:space="preserve">% of Max payers</t>
  </si>
  <si>
    <t xml:space="preserve">Upgrades from Pro annual go to annual; upgrades from Pro monthly go to monthly.</t>
  </si>
  <si>
    <t xml:space="preserve">Share bought through the App Store / Google Play</t>
  </si>
  <si>
    <t xml:space="preserve">% of payers</t>
  </si>
  <si>
    <t xml:space="preserve">The rest is bought on the web (Stripe). Selling the annual plan on the landing page avoids the commission.</t>
  </si>
  <si>
    <t xml:space="preserve">Payment fees</t>
  </si>
  <si>
    <t xml:space="preserve">App Store / Google Play commission</t>
  </si>
  <si>
    <t xml:space="preserve">% of price excl. VAT</t>
  </si>
  <si>
    <t xml:space="preserve">15% under the Small Business Programs (&lt; $1M/yr) and on every subscription after its first year; 30% otherwise. Stores collect and remit VAT for you.</t>
  </si>
  <si>
    <t xml:space="preserve">Stripe card fee (EEA cards)</t>
  </si>
  <si>
    <t xml:space="preserve">% of charge</t>
  </si>
  <si>
    <t xml:space="preserve">Stripe Belgium standard EEA cards: 1.5% + €0.25.</t>
  </si>
  <si>
    <t xml:space="preserve">Stripe fixed fee per charge</t>
  </si>
  <si>
    <t xml:space="preserve">€ / charge</t>
  </si>
  <si>
    <t xml:space="preserve">Paid on every monthly renewal, once a year on annual plans.</t>
  </si>
  <si>
    <t xml:space="preserve">Stripe Billing (subscriptions)</t>
  </si>
  <si>
    <t xml:space="preserve">Stripe Billing pay-as-you-go.</t>
  </si>
  <si>
    <t xml:space="preserve">Small-business VAT exemption (franchise regime)</t>
  </si>
  <si>
    <t xml:space="preserve">Use the VAT exemption while you're eligible (Y/N)</t>
  </si>
  <si>
    <t xml:space="preserve">Y</t>
  </si>
  <si>
    <t xml:space="preserve">Y / N</t>
  </si>
  <si>
    <t xml:space="preserve">Web buyers are then charged no VAT and you keep the whole price. The stores still apply VAT (they are the seller in-app).</t>
  </si>
  <si>
    <t xml:space="preserve">Annual turnover limit for the exemption</t>
  </si>
  <si>
    <t xml:space="preserve">Belgian small-business exemption limit.</t>
  </si>
  <si>
    <t xml:space="preserve">Limit for web sales to consumers in other EU countries</t>
  </si>
  <si>
    <t xml:space="preserve">Above this, buyers abroad pay their own country's VAT (e.g. 20% in France) even if you're exempt in Belgium. Tsuji is French-first, so this limit comes first.</t>
  </si>
  <si>
    <t xml:space="preserve">Share of web buyers outside Belgium</t>
  </si>
  <si>
    <t xml:space="preserve">% of web sales</t>
  </si>
  <si>
    <t xml:space="preserve">Assumption: mostly French-speaking buyers in France.</t>
  </si>
  <si>
    <t xml:space="preserve">Variable cost per user per month</t>
  </si>
  <si>
    <t xml:space="preserve">LLM cost – Pro user, expected</t>
  </si>
  <si>
    <t xml:space="preserve">$ / month</t>
  </si>
  <si>
    <t xml:space="preserve">scripts/llm_cost_model.py --fleet: Gemini 3.1 Flash-Lite, 70% light / 25% typical / 5% heavy, with caching. The free Explain button is included (phrase analysis, mostly cached).</t>
  </si>
  <si>
    <t xml:space="preserve">LLM cost – Pro user, worst case</t>
  </si>
  <si>
    <t xml:space="preserve">From 'AI worst case' (full-price tier): every AI allowance used to the full, every day.</t>
  </si>
  <si>
    <t xml:space="preserve">LLM cost – Max user, expected</t>
  </si>
  <si>
    <t xml:space="preserve">llm_cost_model.py 'typical' user: Max buyers use the app more.</t>
  </si>
  <si>
    <t xml:space="preserve">LLM cost – Max user, worst case</t>
  </si>
  <si>
    <t xml:space="preserve">Variable infrastructure – free user</t>
  </si>
  <si>
    <t xml:space="preserve">Database, auth and bandwidth beyond what the fixed plans include.</t>
  </si>
  <si>
    <t xml:space="preserve">Variable infrastructure – paying user</t>
  </si>
  <si>
    <t xml:space="preserve">More audio, practice logs and analyser history.</t>
  </si>
  <si>
    <t xml:space="preserve">Stages (which fixed-cost column applies)</t>
  </si>
  <si>
    <t xml:space="preserve">Growth stage starts at</t>
  </si>
  <si>
    <t xml:space="preserve">active users</t>
  </si>
  <si>
    <t xml:space="preserve">Bigger Render/Supabase plans, paid e-mail. See 'Fixed costs'.</t>
  </si>
  <si>
    <t xml:space="preserve">Scale stage starts at</t>
  </si>
  <si>
    <t xml:space="preserve">Social contributions – student self-employed (étudiant-indépendant), 2026</t>
  </si>
  <si>
    <t xml:space="preserve">No contributions up to</t>
  </si>
  <si>
    <t xml:space="preserve">€ net profit / year</t>
  </si>
  <si>
    <t xml:space="preserve">Below this taxable profit you owe nothing (2026, UCM / Liantis / Partena).</t>
  </si>
  <si>
    <t xml:space="preserve">Student status limit</t>
  </si>
  <si>
    <t xml:space="preserve">Between the two limits: 20.5% of the part above €8,687.04. At or above this one you pay as a full-time self-employed person.</t>
  </si>
  <si>
    <t xml:space="preserve">Contribution rate</t>
  </si>
  <si>
    <t xml:space="preserve">20.5% (applies up to ≈ €75k a year; the lower rate above that isn't modelled).</t>
  </si>
  <si>
    <t xml:space="preserve">Full-time self-employed minimum, per quarter</t>
  </si>
  <si>
    <t xml:space="preserve">€ / quarter</t>
  </si>
  <si>
    <t xml:space="preserve">Applies once profit reaches the student status limit (2026; sources give €917.58–925.59, check with your fund).</t>
  </si>
  <si>
    <t xml:space="preserve">Not modelled: income tax (IPP). Everything here is before income tax. Student self-employed status: 18–25 years old, enrolled for at least 27 credits, proof sent to your fund every year.</t>
  </si>
  <si>
    <t xml:space="preserve">Free plan, trial, founder offer, credit packs (new strategy, Oct 2026)</t>
  </si>
  <si>
    <t xml:space="preserve">LLM cost – free user, expected</t>
  </si>
  <si>
    <t xml:space="preserve">Free now has small AI allowances ('AI worst case'). Most free users use few of them and most of what they ask is served from caches and pools. Estimate: replace with scripts/llm_usage_report.py.</t>
  </si>
  <si>
    <t xml:space="preserve">LLM cost – free user, worst case</t>
  </si>
  <si>
    <t xml:space="preserve">From 'AI worst case': every free allowance used to the full, every day.</t>
  </si>
  <si>
    <t xml:space="preserve">Trial (7 days, annual plans only): share of trials that convert</t>
  </si>
  <si>
    <t xml:space="preserve">% of trials</t>
  </si>
  <si>
    <t xml:space="preserve">Store trials that ask for a payment method commonly convert 30–60%. Replace with real data.</t>
  </si>
  <si>
    <t xml:space="preserve">Founder offer: discount on the first year of an annual plan</t>
  </si>
  <si>
    <t xml:space="preserve">Proposal: −30% on the first year for early-access members (Pro €34.99, Max €41.99). 'Pricing' shows what it does to the worst case.</t>
  </si>
  <si>
    <t xml:space="preserve">Founder offer: share of annual payers in their founder year</t>
  </si>
  <si>
    <t xml:space="preserve">% of annual payers</t>
  </si>
  <si>
    <t xml:space="preserve">1 while the offer is open (the end-2026 goal sits inside it). Set to 0 for the steady state once the offer has closed and its first year has run out.</t>
  </si>
  <si>
    <t xml:space="preserve">Credit packs: share of free active users buying a pack in a month</t>
  </si>
  <si>
    <t xml:space="preserve">% of free MAU</t>
  </si>
  <si>
    <t xml:space="preserve">Guess. Packs are bought by free learners who run out and want to go on today.</t>
  </si>
  <si>
    <t xml:space="preserve">Credit packs: share of Pro subscribers buying a pack in a month</t>
  </si>
  <si>
    <t xml:space="preserve">% of Pro</t>
  </si>
  <si>
    <t xml:space="preserve">Pro learners who run past their 120 a day. Max never buys (unlimited, shop hidden).</t>
  </si>
  <si>
    <t xml:space="preserve">Credit packs: packs bought per buyer per month</t>
  </si>
  <si>
    <t xml:space="preserve">packs</t>
  </si>
  <si>
    <t xml:space="preserve">Guess.</t>
  </si>
  <si>
    <t xml:space="preserve">Credit packs: average pack price paid</t>
  </si>
  <si>
    <t xml:space="preserve">€ (VAT incl.)</t>
  </si>
  <si>
    <t xml:space="preserve">From 'Credit shop': the four packs weighted by their sales mix.</t>
  </si>
  <si>
    <t xml:space="preserve">Credit packs: share bought in-app</t>
  </si>
  <si>
    <t xml:space="preserve">% of packs</t>
  </si>
  <si>
    <t xml:space="preserve">An impulse buy inside the app; few go to the web for it.</t>
  </si>
  <si>
    <t xml:space="preserve">Early access today: active users</t>
  </si>
  <si>
    <t xml:space="preserve">MAU</t>
  </si>
  <si>
    <t xml:space="preserve">Owner, 26 Oct 2026: about 100 sign-ups, 20–30 active.</t>
  </si>
  <si>
    <t xml:space="preserve">Target date for break-even</t>
  </si>
  <si>
    <t xml:space="preserve">date</t>
  </si>
  <si>
    <t xml:space="preserve">Owner's goal: profitable by the end of 2026.</t>
  </si>
  <si>
    <t xml:space="preserve">Pricing: pushing the annual Pro plan, with Max as the upgrade</t>
  </si>
  <si>
    <t xml:space="preserve">Old prices are your first grid; full prices come from Assumptions (change them there); regional prices are at the bottom.</t>
  </si>
  <si>
    <t xml:space="preserve">Plan</t>
  </si>
  <si>
    <t xml:space="preserve">Billing</t>
  </si>
  <si>
    <t xml:space="preserve">Previous proposal (€)</t>
  </si>
  <si>
    <t xml:space="preserve">Full price, tier 1 (€)</t>
  </si>
  <si>
    <t xml:space="preserve">Per month (€)</t>
  </si>
  <si>
    <t xml:space="preserve">Saving vs monthly</t>
  </si>
  <si>
    <t xml:space="preserve">Change vs previous</t>
  </si>
  <si>
    <t xml:space="preserve">Store price point?</t>
  </si>
  <si>
    <t xml:space="preserve">Pro</t>
  </si>
  <si>
    <t xml:space="preserve">Monthly</t>
  </si>
  <si>
    <t xml:space="preserve">Annual</t>
  </si>
  <si>
    <t xml:space="preserve">Max</t>
  </si>
  <si>
    <t xml:space="preserve">Upgrade to Max</t>
  </si>
  <si>
    <t xml:space="preserve">From Pro annual to Max annual, per year</t>
  </si>
  <si>
    <t xml:space="preserve">… per month</t>
  </si>
  <si>
    <t xml:space="preserve">From Pro monthly to Max monthly, per month</t>
  </si>
  <si>
    <t xml:space="preserve">Charge only the difference for the months left (proration): the stores do it automatically for upgrades within a subscription group, and so does Stripe.</t>
  </si>
  <si>
    <t xml:space="preserve">Competitors (list prices, USD)</t>
  </si>
  <si>
    <t xml:space="preserve">App</t>
  </si>
  <si>
    <t xml:space="preserve">What it covers</t>
  </si>
  <si>
    <t xml:space="preserve">Monthly ($)</t>
  </si>
  <si>
    <t xml:space="preserve">Annual ($)</t>
  </si>
  <si>
    <t xml:space="preserve">Lifetime ($)</t>
  </si>
  <si>
    <t xml:space="preserve">Source</t>
  </si>
  <si>
    <t xml:space="preserve">WaniKani</t>
  </si>
  <si>
    <t xml:space="preserve">Kanji and vocabulary only</t>
  </si>
  <si>
    <t xml:space="preserve">wanilog.com, 2026</t>
  </si>
  <si>
    <t xml:space="preserve">Bunpro</t>
  </si>
  <si>
    <t xml:space="preserve">Grammar only</t>
  </si>
  <si>
    <t xml:space="preserve">—</t>
  </si>
  <si>
    <t xml:space="preserve">languavibe.com, May 2026</t>
  </si>
  <si>
    <t xml:space="preserve">Renshuu Pro</t>
  </si>
  <si>
    <t xml:space="preserve">Vocab, kanji, grammar</t>
  </si>
  <si>
    <t xml:space="preserve">App Store listing, 2026</t>
  </si>
  <si>
    <t xml:space="preserve">WaniKani + Bunpro</t>
  </si>
  <si>
    <t xml:space="preserve">What Tsuji Pro replaces</t>
  </si>
  <si>
    <t xml:space="preserve">Sum of the two monthly prices</t>
  </si>
  <si>
    <t xml:space="preserve">Why these prices</t>
  </si>
  <si>
    <t xml:space="preserve">Pro €4.99 / €49.99 (owner's decision, Oct 2026): a low entry price, the strategy's 'learn well for little'. Annual saves only 17% against 12 × monthly: a weak reason to commit for a year.</t>
  </si>
  <si>
    <t xml:space="preserve">Max €7.99 / €59.99: annual saves 37% and costs only €10 a year more than Pro annual. Side by side, Max annual is the obvious pick and Pro annual a decoy. Either that is the intent (more per payer, thinner worst case) or Pro annual moves (e.g. €39.99, −33%).</t>
  </si>
  <si>
    <t xml:space="preserve">Both plans hold their worst case only through the global AI ceiling a day ('AI worst case'): the per-feature caps alone add up to more than either price carries.</t>
  </si>
  <si>
    <t xml:space="preserve">Max 'unlimited' covers everything paid in credits. The AI features keep fair-use caps and a ceiling, published as such.</t>
  </si>
  <si>
    <t xml:space="preserve">All four prices are standard App Store / Google Play price points (x.99).</t>
  </si>
  <si>
    <t xml:space="preserve">7-day free trial on the annual plans only, and the founder offer (below) for early-access members.</t>
  </si>
  <si>
    <t xml:space="preserve">Sell the annual plans on the web too (landing page, Stripe). In-app you keep about 70% of the price; on the web, VAT-exempt, about 97%. The founder offer holds its worst case only on the web.</t>
  </si>
  <si>
    <t xml:space="preserve">Re-check after launch: conversion, the annual share, the Pro/Max split, how many reach a cap or the ceiling. Change them in Assumptions.</t>
  </si>
  <si>
    <t xml:space="preserve">Regional prices, by purchasing power</t>
  </si>
  <si>
    <t xml:space="preserve">Tier</t>
  </si>
  <si>
    <t xml:space="preserve">Countries (examples)</t>
  </si>
  <si>
    <t xml:space="preserve">Share of payers</t>
  </si>
  <si>
    <t xml:space="preserve">Pro price &amp; AI multiplier</t>
  </si>
  <si>
    <t xml:space="preserve">Max price &amp; AI multiplier</t>
  </si>
  <si>
    <t xml:space="preserve">Pro monthly (€)</t>
  </si>
  <si>
    <t xml:space="preserve">Pro annual (€)</t>
  </si>
  <si>
    <t xml:space="preserve">Max monthly (€)</t>
  </si>
  <si>
    <t xml:space="preserve">Max annual (€)</t>
  </si>
  <si>
    <t xml:space="preserve">Pro monthly: worst-case margin/mo (€)</t>
  </si>
  <si>
    <t xml:space="preserve">Pro annual: worst-case margin/mo (€)</t>
  </si>
  <si>
    <t xml:space="preserve">Max monthly: worst-case margin/mo (€)</t>
  </si>
  <si>
    <t xml:space="preserve">Max annual: worst-case margin/mo (€)</t>
  </si>
  <si>
    <t xml:space="preserve">Every plan covers its worst case?</t>
  </si>
  <si>
    <t xml:space="preserve">1 – Full price</t>
  </si>
  <si>
    <t xml:space="preserve">Belgium, France, Switzerland, Luxembourg, Germany, Netherlands, Nordics, UK, US, Canada, Australia, Japan</t>
  </si>
  <si>
    <t xml:space="preserve">2 – Reduced</t>
  </si>
  <si>
    <t xml:space="preserve">Spain, Italy, Portugal, Greece, Poland, Czechia, the Baltics, Korea, Taiwan</t>
  </si>
  <si>
    <t xml:space="preserve">3 – Low</t>
  </si>
  <si>
    <t xml:space="preserve">Morocco, Algeria, Tunisia, Turkey, Romania, Brazil, Mexico, Southeast Asia</t>
  </si>
  <si>
    <t xml:space="preserve">4 – Lowest</t>
  </si>
  <si>
    <t xml:space="preserve">Senegal, Côte d'Ivoire, Cameroon and French-speaking Africa, India, Egypt</t>
  </si>
  <si>
    <t xml:space="preserve">Average price paid (index)</t>
  </si>
  <si>
    <t xml:space="preserve">The rule: in every tier, even a subscriber using every AI allowance to the full every day must still bring in more than they cost. The margins above are that case, in the channel that keeps least (in-app or web).</t>
  </si>
  <si>
    <t xml:space="preserve">The multiplier sets both the price and the AI caps and ceiling in that tier: pay 45% of the price, get 45% of the AI. Reviews, the dictionary and the credits are the same everywhere; they cost almost nothing.</t>
  </si>
  <si>
    <t xml:space="preserve">The global AI ceiling is what lets tier 4 hold: without it the per-feature caps alone would cost more than a tier-4 plan brings in.</t>
  </si>
  <si>
    <t xml:space="preserve">Which price applies: the store account's country in-app (Apple and Google set prices per country); on the web, the country of the card (Stripe), so a VPN doesn't unlock a cheaper price.</t>
  </si>
  <si>
    <t xml:space="preserve">Outside the EU the stores add the local sales tax (e.g. India 18%). The margins use the EU rate as an approximation.</t>
  </si>
  <si>
    <t xml:space="preserve">'Unit economics' and 'Projection' use the average indexes, so revenue already reflects regional prices. The shares of payers must add up to 100%.</t>
  </si>
  <si>
    <t xml:space="preserve">Founder offer (early-access members): the first year of an annual plan, full allowances</t>
  </si>
  <si>
    <t xml:space="preserve">Full price (€/yr)</t>
  </si>
  <si>
    <t xml:space="preserve">Founder price (€/yr)</t>
  </si>
  <si>
    <t xml:space="preserve">Worst-case margin in-app (€/mo)</t>
  </si>
  <si>
    <t xml:space="preserve">Worst-case margin on the web, VAT-exempt (€/mo)</t>
  </si>
  <si>
    <t xml:space="preserve">Holds in-app?</t>
  </si>
  <si>
    <t xml:space="preserve">Holds on the web?</t>
  </si>
  <si>
    <t xml:space="preserve">In-app a deep founder discount loses money on a learner who maxes every AI allowance; on the web, VAT-exempt, it holds. Sell the founder offer on the landing page (Stripe), or keep the in-app discount small.</t>
  </si>
  <si>
    <t xml:space="preserve">Founder rules to write down: who qualifies (early-access sign-ups before a date), until when it can be taken, first year only, then the regular annual price with a reminder 30 days before renewal.</t>
  </si>
  <si>
    <t xml:space="preserve">Credit shop: packs priced so that the subscriptions stay the better deal</t>
  </si>
  <si>
    <t xml:space="preserve">Blue = input · prices VAT included · every reward is fixed: nothing random is ever sold or paid for with bought credits (Belgium treats paid loot boxes as gambling).</t>
  </si>
  <si>
    <t xml:space="preserve">The credit economy (owner's decisions, Oct 2026; figures to tune with early-access data)</t>
  </si>
  <si>
    <t xml:space="preserve">Free: credits refilled a day</t>
  </si>
  <si>
    <t xml:space="preserve">Free: refill limit (the refill stops there; earned and bought credits go above it)</t>
  </si>
  <si>
    <t xml:space="preserve">Pro: credits refilled a day</t>
  </si>
  <si>
    <t xml:space="preserve">Pro: refill limit</t>
  </si>
  <si>
    <t xml:space="preserve">Due review on Free (credits)</t>
  </si>
  <si>
    <t xml:space="preserve">Due review on Pro and Max (credits)</t>
  </si>
  <si>
    <t xml:space="preserve">Practice exercise (2 to 5 by mode; average)</t>
  </si>
  <si>
    <t xml:space="preserve">Due reviews a day of a steady Pro learner (for the comparison below)</t>
  </si>
  <si>
    <t xml:space="preserve">Packs: the bigger the pack, the bigger the bonus</t>
  </si>
  <si>
    <t xml:space="preserve">Pack</t>
  </si>
  <si>
    <t xml:space="preserve">Credits</t>
  </si>
  <si>
    <t xml:space="preserve">Price (€)</t>
  </si>
  <si>
    <t xml:space="preserve">€ per 100 credits</t>
  </si>
  <si>
    <t xml:space="preserve">Bonus vs the smallest pack</t>
  </si>
  <si>
    <t xml:space="preserve">Share of packs sold</t>
  </si>
  <si>
    <t xml:space="preserve">You keep in-app (€)</t>
  </si>
  <si>
    <t xml:space="preserve">You keep on the web, VAT-exempt (€)</t>
  </si>
  <si>
    <t xml:space="preserve">S</t>
  </si>
  <si>
    <t xml:space="preserve">M</t>
  </si>
  <si>
    <t xml:space="preserve">L</t>
  </si>
  <si>
    <t xml:space="preserve">XL</t>
  </si>
  <si>
    <t xml:space="preserve">Mix check (must be 100%)</t>
  </si>
  <si>
    <t xml:space="preserve">Average pack sold</t>
  </si>
  <si>
    <t xml:space="preserve">Kept per pack sold, blended by channel (€)</t>
  </si>
  <si>
    <t xml:space="preserve">Do the subscriptions stay the better deal?</t>
  </si>
  <si>
    <t xml:space="preserve">Extra credits a month Pro refills over Free</t>
  </si>
  <si>
    <t xml:space="preserve">Due reviews a month Pro rides free (credits Free would pay)</t>
  </si>
  <si>
    <t xml:space="preserve">A Pro month, in credits</t>
  </si>
  <si>
    <t xml:space="preserve">Those credits bought in packs, at the best rate (€)</t>
  </si>
  <si>
    <t xml:space="preserve">… as a multiple of Pro monthly</t>
  </si>
  <si>
    <t xml:space="preserve">Largest limited-time promotion (extra credits on a pack)</t>
  </si>
  <si>
    <t xml:space="preserve">… multiple of Pro monthly during that promotion</t>
  </si>
  <si>
    <t xml:space="preserve">Target: packs cost at least this multiple of Pro monthly</t>
  </si>
  <si>
    <t xml:space="preserve">Pro stays the better deal, even during a promotion?</t>
  </si>
  <si>
    <t xml:space="preserve">Bigger packs carry a bigger bonus (owner's decision). A limited-time promotion adds credits to a pack; it never takes a price off the store's price points.</t>
  </si>
  <si>
    <t xml:space="preserve">Show the € price beside every credit amount and every price in credits, never pressure a buy (no fake countdown), and size the packs so nobody is left with an unusable remainder: the EU consumer authorities' principles on in-game virtual currencies (March 2025).</t>
  </si>
  <si>
    <t xml:space="preserve">Bought and earned credits never expire (owner's decision) and survive a change of plan. They never raise a plan's AI caps. The shop is hidden from Max (unlimited).</t>
  </si>
  <si>
    <t xml:space="preserve">AI worst case: a user who uses every AI allowance to the full, every day</t>
  </si>
  <si>
    <t xml:space="preserve">Caps at the full price (tier 1); cheaper tiers scale them by their multiplier ('Pricing'). Each plan has per-feature caps AND one global ceiling a day, whatever the mix: the worst case is the lower of the two. Only this sheet decides whether a price can lose money.</t>
  </si>
  <si>
    <t xml:space="preserve">Model prices (Gemini 3.1 Flash-Lite, the primary)</t>
  </si>
  <si>
    <t xml:space="preserve">Input price</t>
  </si>
  <si>
    <t xml:space="preserve">$ per 1M tokens</t>
  </si>
  <si>
    <t xml:space="preserve">docs/llm-commercial-plan.md. No batch discount in the worst case.</t>
  </si>
  <si>
    <t xml:space="preserve">Output price</t>
  </si>
  <si>
    <t xml:space="preserve">Share of input served from the provider's cache</t>
  </si>
  <si>
    <t xml:space="preserve">Cached input billed at</t>
  </si>
  <si>
    <t xml:space="preserve">of the full price</t>
  </si>
  <si>
    <t xml:space="preserve">Days in a month</t>
  </si>
  <si>
    <t xml:space="preserve">days</t>
  </si>
  <si>
    <t xml:space="preserve">Minimum margin per subscriber per month, worst case</t>
  </si>
  <si>
    <t xml:space="preserve">€</t>
  </si>
  <si>
    <t xml:space="preserve">0 = break even; a little above leaves room for error.</t>
  </si>
  <si>
    <t xml:space="preserve">Feature (one unit)</t>
  </si>
  <si>
    <t xml:space="preserve">Calls per unit</t>
  </si>
  <si>
    <t xml:space="preserve">Input tokens per call</t>
  </si>
  <si>
    <t xml:space="preserve">Output tokens per call</t>
  </si>
  <si>
    <t xml:space="preserve">Cost per unit ($)</t>
  </si>
  <si>
    <t xml:space="preserve">Cap per</t>
  </si>
  <si>
    <t xml:space="preserve">Free cap</t>
  </si>
  <si>
    <t xml:space="preserve">Pro cap</t>
  </si>
  <si>
    <t xml:space="preserve">Max cap</t>
  </si>
  <si>
    <t xml:space="preserve">Units a month per cap</t>
  </si>
  <si>
    <t xml:space="preserve">Free ($/month)</t>
  </si>
  <si>
    <t xml:space="preserve">Pro ($/month)</t>
  </si>
  <si>
    <t xml:space="preserve">Max ($/month)</t>
  </si>
  <si>
    <t xml:space="preserve">What the code does today</t>
  </si>
  <si>
    <t xml:space="preserve">New mock-exam paper generated</t>
  </si>
  <si>
    <t xml:space="preserve">month</t>
  </si>
  <si>
    <t xml:space="preserve">Papers already in the pool stay open to all (credits). TODAY: 5 new papers a day (EXAM_PAPERS_DAILY_LIMIT).</t>
  </si>
  <si>
    <t xml:space="preserve">New comprehension text generated</t>
  </si>
  <si>
    <t xml:space="preserve">day</t>
  </si>
  <si>
    <t xml:space="preserve">Texts from the pool are free to serve (30–60 hand-written seeds a level). TODAY: 10 a day (COMPREHENSION_DAILY_LIMIT).</t>
  </si>
  <si>
    <t xml:space="preserve">Composition review (one sentence)</t>
  </si>
  <si>
    <t xml:space="preserve">TODAY: 30 a day (COMPOSITION_DAILY_LIMIT).</t>
  </si>
  <si>
    <t xml:space="preserve">Translation review (one sentence)</t>
  </si>
  <si>
    <t xml:space="preserve">TODAY: 60 a day (TRANSLATION_DAILY_LIMIT).</t>
  </si>
  <si>
    <r>
      <rPr>
        <sz val="11"/>
        <rFont val="Arial"/>
        <family val="0"/>
        <charset val="1"/>
      </rPr>
      <t xml:space="preserve">Conversation: one line spoken (</t>
    </r>
    <r>
      <rPr>
        <sz val="11"/>
        <rFont val="WenQuanYi Zen Hei"/>
        <family val="2"/>
      </rPr>
      <t xml:space="preserve">会話</t>
    </r>
    <r>
      <rPr>
        <sz val="11"/>
        <rFont val="Arial"/>
        <family val="0"/>
        <charset val="1"/>
      </rPr>
      <t xml:space="preserve">)</t>
    </r>
  </si>
  <si>
    <t xml:space="preserve">One call answers and reviews the line. TODAY: 80 a day (CONVERSATION_DAILY_LIMIT).</t>
  </si>
  <si>
    <t xml:space="preserve">Conversation: translated reply reviewed</t>
  </si>
  <si>
    <t xml:space="preserve">TODAY: 60 a day (CONVERSATION_REVIEW_DAILY_LIMIT).</t>
  </si>
  <si>
    <r>
      <rPr>
        <sz val="11"/>
        <rFont val="Arial"/>
        <family val="0"/>
        <charset val="1"/>
      </rPr>
      <t xml:space="preserve">Chatbot question (</t>
    </r>
    <r>
      <rPr>
        <sz val="11"/>
        <rFont val="WenQuanYi Zen Hei"/>
        <family val="2"/>
      </rPr>
      <t xml:space="preserve">問</t>
    </r>
    <r>
      <rPr>
        <sz val="11"/>
        <rFont val="Arial"/>
        <family val="0"/>
        <charset val="1"/>
      </rPr>
      <t xml:space="preserve">)</t>
    </r>
  </si>
  <si>
    <t xml:space="preserve">TODAY: 40 a day (ASK_DAILY_LIMIT).</t>
  </si>
  <si>
    <t xml:space="preserve">Explain / analyser (a sentence not in the cache)</t>
  </si>
  <si>
    <t xml:space="preserve">Cached sentences stay unlimited. TODAY: 150 a day (DEEP_DAILY_LIMIT).</t>
  </si>
  <si>
    <t xml:space="preserve">Photo reading (OCR)</t>
  </si>
  <si>
    <t xml:space="preserve">TODAY: 20 a day (OCR_DAILY_LIMIT).</t>
  </si>
  <si>
    <t xml:space="preserve">Video / passage: a block of 20 lines translated</t>
  </si>
  <si>
    <t xml:space="preserve">A video of ~150 lines is ~8 blocks. TODAY: 60 a day (LINE_TRANSLATION_DAILY_LIMIT).</t>
  </si>
  <si>
    <t xml:space="preserve">Song lyrics sorted</t>
  </si>
  <si>
    <t xml:space="preserve">TODAY: 20 a day (LYRICS_SORT_DAILY_LIMIT).</t>
  </si>
  <si>
    <t xml:space="preserve">Sum of the per-feature caps ($/month)</t>
  </si>
  <si>
    <t xml:space="preserve">Global AI ceiling a day, whatever the mix ($)</t>
  </si>
  <si>
    <t xml:space="preserve">Proposal. Counted in $ of model cost a learner causes in a day, from the usage log: it never shows, it only stops an abuser.</t>
  </si>
  <si>
    <t xml:space="preserve">Worst case per month, full price ($)</t>
  </si>
  <si>
    <t xml:space="preserve">… in €, with the non-deductible VAT on services bought abroad</t>
  </si>
  <si>
    <t xml:space="preserve">The ceiling, as composition reviews in one day</t>
  </si>
  <si>
    <t xml:space="preserve">The ceiling, as chatbot questions in one day</t>
  </si>
  <si>
    <t xml:space="preserve">By regional tier (caps and ceiling scaled by the tier's multiplier)</t>
  </si>
  <si>
    <t xml:space="preserve">Pro multiplier</t>
  </si>
  <si>
    <t xml:space="preserve">Max multiplier</t>
  </si>
  <si>
    <t xml:space="preserve">Pro worst case ($/mo)</t>
  </si>
  <si>
    <t xml:space="preserve">Max worst case ($/mo)</t>
  </si>
  <si>
    <t xml:space="preserve">Pro worst case (€/mo)</t>
  </si>
  <si>
    <t xml:space="preserve">Max worst case (€/mo)</t>
  </si>
  <si>
    <t xml:space="preserve">Expected use is far below this (Assumptions: ≈ $0.27 Pro, $0.44 Max, $0.02 Free). This sheet is a floor for prices, not a forecast.</t>
  </si>
  <si>
    <t xml:space="preserve">Credits bought in packs never raise a plan's AI caps: a Free learner who buys credits keeps Free's caps. PvP scores, corrections and the solo games are assumed to call no model (pre-generated content).</t>
  </si>
  <si>
    <t xml:space="preserve">One-off costs to start</t>
  </si>
  <si>
    <t xml:space="preserve">Include = Y counts in the totals · amounts in the currency named · the € columns are calculated, adding the non-deductible VAT on services bought abroad (Assumptions).</t>
  </si>
  <si>
    <t xml:space="preserve">Item</t>
  </si>
  <si>
    <t xml:space="preserve">Category</t>
  </si>
  <si>
    <t xml:space="preserve">Include (Y/N)</t>
  </si>
  <si>
    <t xml:space="preserve">Currency</t>
  </si>
  <si>
    <t xml:space="preserve">Low</t>
  </si>
  <si>
    <t xml:space="preserve">Expected</t>
  </si>
  <si>
    <t xml:space="preserve">High</t>
  </si>
  <si>
    <t xml:space="preserve">Low (€)</t>
  </si>
  <si>
    <t xml:space="preserve">Expected (€)</t>
  </si>
  <si>
    <t xml:space="preserve">High (€)</t>
  </si>
  <si>
    <t xml:space="preserve">Note / source</t>
  </si>
  <si>
    <t xml:space="preserve">Registration in the BCE (enterprise number) via a guichet d'entreprises</t>
  </si>
  <si>
    <t xml:space="preserve">Legal &amp; admin</t>
  </si>
  <si>
    <t xml:space="preserve">EUR</t>
  </si>
  <si>
    <t xml:space="preserve">2026 official fee, the same at every guichet. VAT activation through the guichet is included. Ask for the small-business VAT exemption (franchise) at the same time.</t>
  </si>
  <si>
    <t xml:space="preserve">Student self-employed status (étudiant-indépendant)</t>
  </si>
  <si>
    <t xml:space="preserve">Free: request it from your social insurance fund, with proof of enrolment every academic year (18–25 years old, at least 27 credits).</t>
  </si>
  <si>
    <t xml:space="preserve">VAT number activation</t>
  </si>
  <si>
    <t xml:space="preserve">Included in the BCE fee. Under the exemption you file no periodic VAT returns, only the special return for services bought abroad.</t>
  </si>
  <si>
    <t xml:space="preserve">Joining a social insurance fund (caisse d'assurances sociales)</t>
  </si>
  <si>
    <t xml:space="preserve">Free to join. The contributions are in 'Assumptions' and 'Projection'.</t>
  </si>
  <si>
    <t xml:space="preserve">Setting up a company (SRL) instead of working in your own name</t>
  </si>
  <si>
    <t xml:space="preserve">N</t>
  </si>
  <si>
    <t xml:space="preserve">Not compatible with the student self-employed status as a sole trader. Only for later, once profit passes the student limit.</t>
  </si>
  <si>
    <t xml:space="preserve">Benelux trademark 'Tsuji' (BOIP), classes 9 (software) + 41 (education)</t>
  </si>
  <si>
    <t xml:space="preserve">BOIP: €244 for the first class, €27 for each extra class. Valid 10 years. Check the fee on boip.int before filing.</t>
  </si>
  <si>
    <t xml:space="preserve">EU trademark (EUIPO), classes 9 + 41</t>
  </si>
  <si>
    <t xml:space="preserve">€850 + €50 for the second class. Covers the whole EU instead of Benelux only.</t>
  </si>
  <si>
    <t xml:space="preserve">Trademark clearance search / IP attorney</t>
  </si>
  <si>
    <t xml:space="preserve">'Tsuji' is a common Japanese surname. Check nobody already holds it in classes 9/41.</t>
  </si>
  <si>
    <t xml:space="preserve">Legal texts: terms of use, terms of sale, subscription and withdrawal terms</t>
  </si>
  <si>
    <t xml:space="preserve">EU consumer law: the 14-day withdrawal right, auto-renewal terms. public/privacy.html already exists.</t>
  </si>
  <si>
    <t xml:space="preserve">Accountant onboarding</t>
  </si>
  <si>
    <t xml:space="preserve">Some offices charge a set-up fee.</t>
  </si>
  <si>
    <t xml:space="preserve">Google Play developer registration</t>
  </si>
  <si>
    <t xml:space="preserve">Stores &amp; tech</t>
  </si>
  <si>
    <t xml:space="preserve">USD</t>
  </si>
  <si>
    <t xml:space="preserve">Paid once. (The Apple fee is yearly, so it is in 'Fixed costs'.)</t>
  </si>
  <si>
    <t xml:space="preserve">Mac for building and uploading the iOS app</t>
  </si>
  <si>
    <t xml:space="preserve">Only if you don't own one. Cloud macOS build services are the alternative.</t>
  </si>
  <si>
    <t xml:space="preserve">Test devices (a used iPhone and Android phone)</t>
  </si>
  <si>
    <t xml:space="preserve">First fill of the LLM pools (exam papers, comprehension, phrase cache)</t>
  </si>
  <si>
    <t xml:space="preserve">10 papers for each of the 15 exam ids ≈ $17 (≈ $0.11 a paper), comprehension pool ≈ $2, phrase cache ≈ $0.20. A deep paper pool means the new-paper allowance is almost never reached.</t>
  </si>
  <si>
    <t xml:space="preserve">Payment integration (Stripe / RevenueCat)</t>
  </si>
  <si>
    <t xml:space="preserve">No set-up fee. The work is development time (HAS_STORE is still false).</t>
  </si>
  <si>
    <t xml:space="preserve">Voice licences (VOICEVOX Nemo, kana voice)</t>
  </si>
  <si>
    <t xml:space="preserve">Free, but you must credit 'VOICEVOX Nemo' (already done), and generated audio must never be used for machine learning.</t>
  </si>
  <si>
    <t xml:space="preserve">Launch marketing (ads, store screenshots, video)</t>
  </si>
  <si>
    <t xml:space="preserve">Marketing</t>
  </si>
  <si>
    <t xml:space="preserve">Optional. The landing page and its footage are self-made.</t>
  </si>
  <si>
    <t xml:space="preserve">Total – included items (Y)</t>
  </si>
  <si>
    <t xml:space="preserve">Total – every item, including optional</t>
  </si>
  <si>
    <t xml:space="preserve">Recurring fixed costs, by stage</t>
  </si>
  <si>
    <t xml:space="preserve">Amounts as billed (currency and period named) · € per month is calculated, adding the non-deductible VAT on services bought abroad · Include = Y counts in the totals.</t>
  </si>
  <si>
    <t xml:space="preserve">Billed per</t>
  </si>
  <si>
    <t xml:space="preserve">Launch</t>
  </si>
  <si>
    <t xml:space="preserve">Growth</t>
  </si>
  <si>
    <t xml:space="preserve">Scale</t>
  </si>
  <si>
    <t xml:space="preserve">Launch (€/mo)</t>
  </si>
  <si>
    <t xml:space="preserve">Growth (€/mo)</t>
  </si>
  <si>
    <t xml:space="preserve">Scale (€/mo)</t>
  </si>
  <si>
    <t xml:space="preserve">Render – backend (FastAPI web service)</t>
  </si>
  <si>
    <t xml:space="preserve">Hosting</t>
  </si>
  <si>
    <t xml:space="preserve">render.yaml: plan 'starter' (512 MB, 0.5 CPU). Standard $25 (2 GB, 1 CPU), Pro $85 (4 GB, 2 CPU).</t>
  </si>
  <si>
    <t xml:space="preserve">Render – persistent disk (exam and dictation audio)</t>
  </si>
  <si>
    <t xml:space="preserve">$0.25 per GB per month. render.yaml: 1 GB → 5 GB → 20 GB.</t>
  </si>
  <si>
    <t xml:space="preserve">Render – VOICEVOX Nemo voice engine (private service)</t>
  </si>
  <si>
    <t xml:space="preserve">ADR 0019: Starter holds it (343 MB) but slowly; Standard halves the first-play wait.</t>
  </si>
  <si>
    <t xml:space="preserve">Render – workspace plan</t>
  </si>
  <si>
    <t xml:space="preserve">Hobby is free. Professional ($19 per member) for autoscaling and a second instance.</t>
  </si>
  <si>
    <t xml:space="preserve">Vercel – frontend and /api proxy</t>
  </si>
  <si>
    <t xml:space="preserve">The free Hobby plan is non-commercial only. A paid app needs Pro ($20 per member; 1 TB of traffic included).</t>
  </si>
  <si>
    <t xml:space="preserve">Supabase – Postgres database + authentication</t>
  </si>
  <si>
    <t xml:space="preserve">The free plan pauses after 7 idle days and has no backups. Pro $25 includes 100k MAU, 8 GB of disk and Micro compute; Small compute +$5, Medium +$50.</t>
  </si>
  <si>
    <t xml:space="preserve">Transactional e-mail for auth (sign-up confirmation, password reset)</t>
  </si>
  <si>
    <t xml:space="preserve">Supabase's built-in mail is for testing only (a few mails an hour). E.g. Resend: free for 3,000 a month (100 a day), $20 for 50,000.</t>
  </si>
  <si>
    <t xml:space="preserve">Error tracking and uptime monitoring</t>
  </si>
  <si>
    <t xml:space="preserve">Free plans are enough early. Sentry Team $26.</t>
  </si>
  <si>
    <t xml:space="preserve">LLM – offline jobs (refilling the comprehension pool, new exam papers)</t>
  </si>
  <si>
    <t xml:space="preserve">AI</t>
  </si>
  <si>
    <t xml:space="preserve">Not tied to any one user. §5.4: a full prewarm ≈ $4. Per-user LLM spend is in 'Unit economics'.</t>
  </si>
  <si>
    <t xml:space="preserve">Rotating residential proxy (fetching YouTube subtitles)</t>
  </si>
  <si>
    <t xml:space="preserve">Only if you switch the YouTube-link feature on (it is off today). Webshare Rotating Residential $3.50 per GB, ≈ 2,500 analyses per GB.</t>
  </si>
  <si>
    <t xml:space="preserve">Domain name (e.g. tsuji.app)</t>
  </si>
  <si>
    <t xml:space="preserve">Web</t>
  </si>
  <si>
    <t xml:space="preserve">year</t>
  </si>
  <si>
    <t xml:space="preserve">The app still runs on japanese-learner-seven.vercel.app. A .app domain costs ≈ $14–20 a year.</t>
  </si>
  <si>
    <t xml:space="preserve">Contact mailbox (contact@…)</t>
  </si>
  <si>
    <t xml:space="preserve">Free forwarding at first (e.g. Cloudflare Email Routing), then a real mailbox.</t>
  </si>
  <si>
    <t xml:space="preserve">Apple Developer Program</t>
  </si>
  <si>
    <t xml:space="preserve">Stores</t>
  </si>
  <si>
    <t xml:space="preserve">Needed to publish on the App Store and TestFlight.</t>
  </si>
  <si>
    <t xml:space="preserve">Accountant (fiduciaire)</t>
  </si>
  <si>
    <t xml:space="preserve">Business</t>
  </si>
  <si>
    <t xml:space="preserve">Launch: exempt from VAT, so only the annual accounts, the income tax return and the special return for services bought abroad. Growth/Scale: normal VAT registration, OSS and quarterly returns.</t>
  </si>
  <si>
    <t xml:space="preserve">Business bank account</t>
  </si>
  <si>
    <t xml:space="preserve">A self-employed person in Belgium must keep a separate professional account.</t>
  </si>
  <si>
    <t xml:space="preserve">Professional liability / cyber insurance</t>
  </si>
  <si>
    <t xml:space="preserve">Optional, but worth it once you hold paying users' data.</t>
  </si>
  <si>
    <t xml:space="preserve">Development tools (AI coding subscription, etc.)</t>
  </si>
  <si>
    <t xml:space="preserve">PLACEHOLDER: enter what you actually pay.</t>
  </si>
  <si>
    <t xml:space="preserve">Paid acquisition / ads</t>
  </si>
  <si>
    <t xml:space="preserve">Optional. Set it once you know your cost per install.</t>
  </si>
  <si>
    <t xml:space="preserve">Total per month – included items (Y)</t>
  </si>
  <si>
    <t xml:space="preserve">Total per year – included items (Y)</t>
  </si>
  <si>
    <t xml:space="preserve">Total per month – every item, including optional</t>
  </si>
  <si>
    <t xml:space="preserve">Stages: Launch below the Growth threshold, Growth from it, Scale from the Scale threshold (see Assumptions).</t>
  </si>
  <si>
    <t xml:space="preserve">Unit economics: what one subscriber brings in and costs, per month</t>
  </si>
  <si>
    <t xml:space="preserve">Prices are averaged over the regional tiers (Pricing) · annual plans are spread over 12 months · in-app and web sales are blended by the channel mix · VAT shown as if charged on the web too (the exemption is added back in 'Projection'). · annual plans carry the founder discount for the share of payers in their founder year (Assumptions) · the 7-day trial's cost is spread over the year it buys.</t>
  </si>
  <si>
    <t xml:space="preserve">Average price paid incl. VAT (€)</t>
  </si>
  <si>
    <t xml:space="preserve">Months covered</t>
  </si>
  <si>
    <t xml:space="preserve">Charges per month</t>
  </si>
  <si>
    <t xml:space="preserve">Gross per month (€)</t>
  </si>
  <si>
    <t xml:space="preserve">VAT (€)</t>
  </si>
  <si>
    <t xml:space="preserve">Net of VAT (€)</t>
  </si>
  <si>
    <t xml:space="preserve">Store commission if sold in-app (€)</t>
  </si>
  <si>
    <t xml:space="preserve">Stripe fees if sold on web (€)</t>
  </si>
  <si>
    <t xml:space="preserve">Payment cost, blended (€)</t>
  </si>
  <si>
    <t xml:space="preserve">Net revenue (€)</t>
  </si>
  <si>
    <t xml:space="preserve">LLM, expected (€)</t>
  </si>
  <si>
    <t xml:space="preserve">Infrastructure (€)</t>
  </si>
  <si>
    <t xml:space="preserve">Contribution margin (€)</t>
  </si>
  <si>
    <t xml:space="preserve">Margin % of gross</t>
  </si>
  <si>
    <t xml:space="preserve">LLM, worst case (€)</t>
  </si>
  <si>
    <t xml:space="preserve">Margin, worst case (€)</t>
  </si>
  <si>
    <t xml:space="preserve">Discount vs monthly</t>
  </si>
  <si>
    <t xml:space="preserve">Blended by each plan's annual share (Assumptions)</t>
  </si>
  <si>
    <t xml:space="preserve">Blended</t>
  </si>
  <si>
    <t xml:space="preserve">All payers</t>
  </si>
  <si>
    <t xml:space="preserve">Where Pro annual is bought: what you keep (average regional price)</t>
  </si>
  <si>
    <t xml:space="preserve">Channel</t>
  </si>
  <si>
    <t xml:space="preserve">Price (€/yr)</t>
  </si>
  <si>
    <t xml:space="preserve">Commission / fees (€)</t>
  </si>
  <si>
    <t xml:space="preserve">You keep (€/yr)</t>
  </si>
  <si>
    <t xml:space="preserve">Share kept</t>
  </si>
  <si>
    <t xml:space="preserve">In-app (store)</t>
  </si>
  <si>
    <t xml:space="preserve">Web, VAT registered</t>
  </si>
  <si>
    <t xml:space="preserve">Web, VAT-exempt (franchise)</t>
  </si>
  <si>
    <t xml:space="preserve">Break-even (the result before social contributions and income tax)</t>
  </si>
  <si>
    <t xml:space="preserve">Stage</t>
  </si>
  <si>
    <t xml:space="preserve">Fixed costs (€/mo)</t>
  </si>
  <si>
    <t xml:space="preserve">Active users needed</t>
  </si>
  <si>
    <t xml:space="preserve">Contribution per active user (€/mo)</t>
  </si>
  <si>
    <t xml:space="preserve">Conservative: counts VAT on web sales. While the VAT exemption applies you keep more, so break-even comes sooner (see 'Projection'). Break-even counts every active user: the payers' margin, the credit packs, and what each free user costs, AI included.</t>
  </si>
  <si>
    <t xml:space="preserve">What a free user costs per month (€)</t>
  </si>
  <si>
    <t xml:space="preserve">… of which AI, expected (€)</t>
  </si>
  <si>
    <t xml:space="preserve">7-day trial on the annual plans (its cost, spread over the year it buys)</t>
  </si>
  <si>
    <t xml:space="preserve">Trial length (days)</t>
  </si>
  <si>
    <t xml:space="preserve">Cost of one trial that does not convert: Pro / Max (€)</t>
  </si>
  <si>
    <t xml:space="preserve">Trial cost per Pro annual payer, per month (€)</t>
  </si>
  <si>
    <t xml:space="preserve">Trial cost per Max annual payer, per month (€)</t>
  </si>
  <si>
    <t xml:space="preserve">Cost and result by number of active users (steady month)</t>
  </si>
  <si>
    <t xml:space="preserve">Row 5 is an input: change the active-user figures · every other row is calculated.</t>
  </si>
  <si>
    <t xml:space="preserve">Per month</t>
  </si>
  <si>
    <t xml:space="preserve">Scenario 1</t>
  </si>
  <si>
    <t xml:space="preserve">Scenario 2</t>
  </si>
  <si>
    <t xml:space="preserve">Scenario 3</t>
  </si>
  <si>
    <t xml:space="preserve">Scenario 4</t>
  </si>
  <si>
    <t xml:space="preserve">Scenario 5</t>
  </si>
  <si>
    <t xml:space="preserve">Scenario 6</t>
  </si>
  <si>
    <t xml:space="preserve">Scenario 7</t>
  </si>
  <si>
    <t xml:space="preserve">Scenario 8</t>
  </si>
  <si>
    <t xml:space="preserve">Monthly active users (MAU)</t>
  </si>
  <si>
    <t xml:space="preserve">Stage (1 Launch · 2 Growth · 3 Scale)</t>
  </si>
  <si>
    <t xml:space="preserve">Free users</t>
  </si>
  <si>
    <t xml:space="preserve">Pro subscribers</t>
  </si>
  <si>
    <t xml:space="preserve">Max subscribers</t>
  </si>
  <si>
    <t xml:space="preserve">Paying users, total</t>
  </si>
  <si>
    <t xml:space="preserve">Credit pack buyers</t>
  </si>
  <si>
    <t xml:space="preserve">REVENUE</t>
  </si>
  <si>
    <t xml:space="preserve">Gross subscription billings incl. VAT</t>
  </si>
  <si>
    <t xml:space="preserve">− VAT (paid to the state, or kept by the store)</t>
  </si>
  <si>
    <t xml:space="preserve">+ VAT not charged on web sales (exemption)</t>
  </si>
  <si>
    <t xml:space="preserve">− Store commission and payment fees</t>
  </si>
  <si>
    <t xml:space="preserve">+ Credit packs, net of VAT and fees</t>
  </si>
  <si>
    <t xml:space="preserve">Net revenue</t>
  </si>
  <si>
    <t xml:space="preserve">VAT EXEMPTION CHECK</t>
  </si>
  <si>
    <t xml:space="preserve">Turnover per year (excl. VAT)</t>
  </si>
  <si>
    <t xml:space="preserve">Web sales to other EU countries per year</t>
  </si>
  <si>
    <t xml:space="preserve">Exemption applies? (1 = yes)</t>
  </si>
  <si>
    <t xml:space="preserve">COSTS</t>
  </si>
  <si>
    <t xml:space="preserve">AI, expected (payers and free users)</t>
  </si>
  <si>
    <t xml:space="preserve">Variable infrastructure</t>
  </si>
  <si>
    <t xml:space="preserve">Fixed costs (by stage)</t>
  </si>
  <si>
    <t xml:space="preserve">Total operating costs</t>
  </si>
  <si>
    <t xml:space="preserve">RESULT</t>
  </si>
  <si>
    <t xml:space="preserve">Operating result (before social contributions)</t>
  </si>
  <si>
    <t xml:space="preserve">Profit per year (basis for social contributions)</t>
  </si>
  <si>
    <t xml:space="preserve">Social contributions, student self-employed</t>
  </si>
  <si>
    <t xml:space="preserve">Result after social contributions (before income tax)</t>
  </si>
  <si>
    <t xml:space="preserve">Result over 12 months</t>
  </si>
  <si>
    <t xml:space="preserve">Still within the student status? (profit &lt; limit)</t>
  </si>
  <si>
    <t xml:space="preserve">COST PER USER</t>
  </si>
  <si>
    <t xml:space="preserve">Total cost per active user</t>
  </si>
  <si>
    <t xml:space="preserve">Total cost per paying user</t>
  </si>
  <si>
    <t xml:space="preserve">Net revenue per paying user</t>
  </si>
  <si>
    <t xml:space="preserve">Variable cost of one free user</t>
  </si>
  <si>
    <t xml:space="preserve">Operating margin (% of net revenue)</t>
  </si>
  <si>
    <t xml:space="preserve">STRESS TEST</t>
  </si>
  <si>
    <t xml:space="preserve">AI if every payer hits the worst case</t>
  </si>
  <si>
    <t xml:space="preserve">AI if every free user hits the free worst case</t>
  </si>
  <si>
    <t xml:space="preserve">Operating result, worst-case AI for everyone</t>
  </si>
  <si>
    <t xml:space="preserve">Social contributions follow the 2026 student self-employed rules: nothing up to €8,687 of yearly profit, 20.5% of the part above it, and full-time rates (minimum €925.59 a quarter) from €17,374.</t>
  </si>
  <si>
    <t xml:space="preserve">Once the exemption stops applying (turnover over €25,000, or over €10,000 of web sales abroad), you must register for VAT normally: then set 'VAT you pay on services bought abroad' to 0%.</t>
  </si>
  <si>
    <t xml:space="preserve">Steady-state snapshot: churn and growth over time are not modelled. The founder discount applies to the share of annual payers set in Assumptions; trials are costed in 'Unit economics'. Income tax is not included.</t>
  </si>
  <si>
    <t xml:space="preserve">The offer as decided (26 Oct 2026), compared with the code today</t>
  </si>
  <si>
    <t xml:space="preserve">'Today in the code' = the limits currently set in the repository (backend/core/credits.py, routes/*). 'e.g.' = a proposal still to confirm.</t>
  </si>
  <si>
    <t xml:space="preserve">Feature</t>
  </si>
  <si>
    <t xml:space="preserve">Free</t>
  </si>
  <si>
    <t xml:space="preserve">Today in the code</t>
  </si>
  <si>
    <t xml:space="preserve">Status / still to decide</t>
  </si>
  <si>
    <t xml:space="preserve">Price (tier 1)</t>
  </si>
  <si>
    <t xml:space="preserve">€0</t>
  </si>
  <si>
    <t xml:space="preserve">€4.99 / month · €49.99 / year</t>
  </si>
  <si>
    <t xml:space="preserve">€7.99 / month · €59.99 / year</t>
  </si>
  <si>
    <t xml:space="preserve">No purchase flow (HAS_STORE = false); credits not enforced (CREDITS_ENFORCE unset).</t>
  </si>
  <si>
    <t xml:space="preserve">Decided. Open: Max annual only €10 above Pro annual ('Pricing').</t>
  </si>
  <si>
    <t xml:space="preserve">Name</t>
  </si>
  <si>
    <r>
      <rPr>
        <sz val="11"/>
        <rFont val="Arial"/>
        <family val="0"/>
        <charset val="1"/>
      </rPr>
      <t xml:space="preserve">Free · e.g. </t>
    </r>
    <r>
      <rPr>
        <sz val="11"/>
        <rFont val="WenQuanYi Zen Hei"/>
        <family val="2"/>
      </rPr>
      <t xml:space="preserve">普通 </t>
    </r>
    <r>
      <rPr>
        <sz val="11"/>
        <rFont val="Arial"/>
        <family val="0"/>
        <charset val="1"/>
      </rPr>
      <t xml:space="preserve">(Local)</t>
    </r>
  </si>
  <si>
    <r>
      <rPr>
        <sz val="11"/>
        <rFont val="Arial"/>
        <family val="0"/>
        <charset val="1"/>
      </rPr>
      <t xml:space="preserve">Pro · e.g. </t>
    </r>
    <r>
      <rPr>
        <sz val="11"/>
        <rFont val="WenQuanYi Zen Hei"/>
        <family val="2"/>
      </rPr>
      <t xml:space="preserve">快速 </t>
    </r>
    <r>
      <rPr>
        <sz val="11"/>
        <rFont val="Arial"/>
        <family val="0"/>
        <charset val="1"/>
      </rPr>
      <t xml:space="preserve">(Rapid)</t>
    </r>
  </si>
  <si>
    <r>
      <rPr>
        <sz val="11"/>
        <rFont val="Arial"/>
        <family val="0"/>
        <charset val="1"/>
      </rPr>
      <t xml:space="preserve">Max · e.g. </t>
    </r>
    <r>
      <rPr>
        <sz val="11"/>
        <rFont val="WenQuanYi Zen Hei"/>
        <family val="2"/>
      </rPr>
      <t xml:space="preserve">特急 </t>
    </r>
    <r>
      <rPr>
        <sz val="11"/>
        <rFont val="Arial"/>
        <family val="0"/>
        <charset val="1"/>
      </rPr>
      <t xml:space="preserve">(Limited express)</t>
    </r>
  </si>
  <si>
    <r>
      <rPr>
        <sz val="11"/>
        <rFont val="Arial"/>
        <family val="0"/>
        <charset val="1"/>
      </rPr>
      <t xml:space="preserve">The code says 'pass'; credits are </t>
    </r>
    <r>
      <rPr>
        <sz val="11"/>
        <rFont val="WenQuanYi Zen Hei"/>
        <family val="2"/>
      </rPr>
      <t xml:space="preserve">回数券</t>
    </r>
    <r>
      <rPr>
        <sz val="11"/>
        <rFont val="Arial"/>
        <family val="0"/>
        <charset val="1"/>
      </rPr>
      <t xml:space="preserve">.</t>
    </r>
  </si>
  <si>
    <t xml:space="preserve">The owner likes the rail names: pick the three and how they print.</t>
  </si>
  <si>
    <t xml:space="preserve">Credit refill</t>
  </si>
  <si>
    <t xml:space="preserve">60 a day; the refill stops at 90</t>
  </si>
  <si>
    <t xml:space="preserve">120 a day; the refill stops at 200</t>
  </si>
  <si>
    <t xml:space="preserve">Unlimited</t>
  </si>
  <si>
    <t xml:space="preserve">30 a day (one every 48 min), cap 50.</t>
  </si>
  <si>
    <t xml:space="preserve">Decided. Earned and bought credits go above the limit and never expire.</t>
  </si>
  <si>
    <t xml:space="preserve">Welcome</t>
  </si>
  <si>
    <t xml:space="preserve">Card filled to its limit on entry; bonus after the tutorial</t>
  </si>
  <si>
    <t xml:space="preserve">Same</t>
  </si>
  <si>
    <t xml:space="preserve">200 credits on the first read.</t>
  </si>
  <si>
    <t xml:space="preserve">Decided. Bonus amount to set.</t>
  </si>
  <si>
    <t xml:space="preserve">Due reviews</t>
  </si>
  <si>
    <t xml:space="preserve">1 credit</t>
  </si>
  <si>
    <t xml:space="preserve">1 credit a review; kana free.</t>
  </si>
  <si>
    <t xml:space="preserve">Decided.</t>
  </si>
  <si>
    <t xml:space="preserve">Kana</t>
  </si>
  <si>
    <t xml:space="preserve">1 credit a new card, reviews free (to confirm)</t>
  </si>
  <si>
    <t xml:space="preserve">Included</t>
  </si>
  <si>
    <t xml:space="preserve">Kana rides free (FREE_SOURCES).</t>
  </si>
  <si>
    <t xml:space="preserve">To confirm.</t>
  </si>
  <si>
    <t xml:space="preserve">New cards (vocab, kanji, grammar)</t>
  </si>
  <si>
    <t xml:space="preserve">e.g. 1 credit</t>
  </si>
  <si>
    <t xml:space="preserve">1 credit a review.</t>
  </si>
  <si>
    <t xml:space="preserve">Open: what Pro spends its credits on.</t>
  </si>
  <si>
    <t xml:space="preserve">Practice modes</t>
  </si>
  <si>
    <t xml:space="preserve">2 to 5 credits by mode; free inside a mission</t>
  </si>
  <si>
    <t xml:space="preserve">Pass only; practice never spends credits.</t>
  </si>
  <si>
    <t xml:space="preserve">Decided. The price per mode to set.</t>
  </si>
  <si>
    <t xml:space="preserve">Solo games (end Nov 2026)</t>
  </si>
  <si>
    <t xml:space="preserve">Not built.</t>
  </si>
  <si>
    <t xml:space="preserve">Price per game to set.</t>
  </si>
  <si>
    <t xml:space="preserve">PvP: async duels, real time between friends, friends list</t>
  </si>
  <si>
    <t xml:space="preserve">Score free; details and corrections in credits</t>
  </si>
  <si>
    <t xml:space="preserve">Beta this week.</t>
  </si>
  <si>
    <t xml:space="preserve">Open: does a duel itself cost credits? No chat for now.</t>
  </si>
  <si>
    <t xml:space="preserve">Missions (daily, weekly), achievements</t>
  </si>
  <si>
    <t xml:space="preserve">Credits + XP</t>
  </si>
  <si>
    <t xml:space="preserve">XP + status cosmetics</t>
  </si>
  <si>
    <t xml:space="preserve">Not built (the day_clear bonus exists).</t>
  </si>
  <si>
    <t xml:space="preserve">Catalogue in docs/business/strategie-monetisation.md.</t>
  </si>
  <si>
    <t xml:space="preserve">Referral</t>
  </si>
  <si>
    <t xml:space="preserve">Credits on conversion, then weekly while the referee stays active; 3 referees</t>
  </si>
  <si>
    <t xml:space="preserve">XP + cosmetics</t>
  </si>
  <si>
    <t xml:space="preserve">Decided. Amounts and "active" to define.</t>
  </si>
  <si>
    <t xml:space="preserve">Deck authors</t>
  </si>
  <si>
    <t xml:space="preserve">Credits when learners study a published deck</t>
  </si>
  <si>
    <t xml:space="preserve">Proposal (strategie-monetisation.md).</t>
  </si>
  <si>
    <t xml:space="preserve">AI features</t>
  </si>
  <si>
    <t xml:space="preserve">Small daily caps</t>
  </si>
  <si>
    <t xml:space="preserve">Daily caps + a ceiling ('AI worst case')</t>
  </si>
  <si>
    <t xml:space="preserve">Fair-use caps + a ceiling</t>
  </si>
  <si>
    <t xml:space="preserve">Pass only; one cap per feature in routes/*.</t>
  </si>
  <si>
    <t xml:space="preserve">Decided: caps per plan and a global ceiling, scaled by tier.</t>
  </si>
  <si>
    <t xml:space="preserve">Mock exams</t>
  </si>
  <si>
    <t xml:space="preserve">Pool papers</t>
  </si>
  <si>
    <t xml:space="preserve">Pool + 2 new a month</t>
  </si>
  <si>
    <t xml:space="preserve">Pool + 4 new a month</t>
  </si>
  <si>
    <t xml:space="preserve">Pass only; 5 new papers a day.</t>
  </si>
  <si>
    <t xml:space="preserve">Decks</t>
  </si>
  <si>
    <t xml:space="preserve">e.g. 10 private decks × 200 cards</t>
  </si>
  <si>
    <t xml:space="preserve">e.g. 30 × 400</t>
  </si>
  <si>
    <t xml:space="preserve">e.g. 100 × 10,000, more on request</t>
  </si>
  <si>
    <t xml:space="preserve">Free 7 / 200; pass 100 / 10,000.</t>
  </si>
  <si>
    <t xml:space="preserve">Fair use, broad. Proposal: published decks with followers do not count.</t>
  </si>
  <si>
    <t xml:space="preserve">Analyser history</t>
  </si>
  <si>
    <t xml:space="preserve">e.g. 30</t>
  </si>
  <si>
    <t xml:space="preserve">e.g. 100</t>
  </si>
  <si>
    <t xml:space="preserve">e.g. 1,000</t>
  </si>
  <si>
    <t xml:space="preserve">30 for everyone (HISTORY_LIMIT).</t>
  </si>
  <si>
    <t xml:space="preserve">Numbers to set.</t>
  </si>
  <si>
    <t xml:space="preserve">Credit packs</t>
  </si>
  <si>
    <t xml:space="preserve">Yes</t>
  </si>
  <si>
    <t xml:space="preserve">Hidden</t>
  </si>
  <si>
    <t xml:space="preserve">4 packs, bigger bonus on bigger packs ('Credit shop').</t>
  </si>
  <si>
    <t xml:space="preserve">Trial</t>
  </si>
  <si>
    <t xml:space="preserve">7 days, annual only</t>
  </si>
  <si>
    <t xml:space="preserve">Founder offer</t>
  </si>
  <si>
    <t xml:space="preserve">e.g. −30% first year, annual</t>
  </si>
  <si>
    <t xml:space="preserve">Decided in principle. In-app it loses on the worst case; on the web it holds ('Pricing').</t>
  </si>
  <si>
    <t xml:space="preserve">Gift subscriptions</t>
  </si>
  <si>
    <t xml:space="preserve">1 or 12 months</t>
  </si>
  <si>
    <t xml:space="preserve">Planned. Sold on the web, redeemed by code in the app.</t>
  </si>
  <si>
    <t xml:space="preserve">Classes (teachers)</t>
  </si>
  <si>
    <t xml:space="preserve">Student seats</t>
  </si>
  <si>
    <t xml:space="preserve">Teacher seat</t>
  </si>
  <si>
    <t xml:space="preserve">Planned. Price per seat to set.</t>
  </si>
  <si>
    <t xml:space="preserve">Downgrade</t>
  </si>
  <si>
    <t xml:space="preserve">30-day grace; nothing deleted, over-limit decks read-only</t>
  </si>
  <si>
    <t xml:space="preserve">Down to Pro's limits</t>
  </si>
  <si>
    <t xml:space="preserve">Deck CSV export exists.</t>
  </si>
  <si>
    <t xml:space="preserve">Regional prices</t>
  </si>
  <si>
    <t xml:space="preserve">4 tiers, 45% to 100%</t>
  </si>
  <si>
    <t xml:space="preserve">Still to do or check</t>
  </si>
  <si>
    <t xml:space="preserve">Legal texts: terms of sale for subscriptions and credits (the 14-day withdrawal right, waived on use with consent; renewal reminders; one-click cancel), the fair-use policy, the rules of missions, referral and the founder offer.</t>
  </si>
  <si>
    <t xml:space="preserve">EU principles on in-game currencies: the € price beside every credit amount, no pressure selling, packs that match prices. Belgium: no paid randomness, every reward fixed.</t>
  </si>
  <si>
    <t xml:space="preserve">Build before charging: the payment flow (stores + Stripe), the AI caps per plan and the ceiling, credits enforcement, the missions.</t>
  </si>
  <si>
    <t xml:space="preserve">Account deletion erases friends, duels, referrals and missions (each new table in DELETE /api/account, closed to the Data API).</t>
  </si>
  <si>
    <t xml:space="preserve">Student status and your family: income from the activity can change whether you're still a dependent for tax, and your family allowance. Check with your fund.</t>
  </si>
  <si>
    <t xml:space="preserve">Past €17,374 of profit a year you pay full-time rates; past €25,000 of turnover, or €10,000 of web sales abroad, you register for VAT. 'Projection' flags both.</t>
  </si>
</sst>
</file>

<file path=xl/styles.xml><?xml version="1.0" encoding="utf-8"?>
<styleSheet xmlns="http://schemas.openxmlformats.org/spreadsheetml/2006/main">
  <numFmts count="17">
    <numFmt numFmtId="164" formatCode="General"/>
    <numFmt numFmtId="165" formatCode="\€#,##0.00;&quot;(€&quot;#,##0.00\);\-"/>
    <numFmt numFmtId="166" formatCode="#,##0;\(#,##0\);\-"/>
    <numFmt numFmtId="167" formatCode="\€#,##0;&quot;(€&quot;#,##0\);\-"/>
    <numFmt numFmtId="168" formatCode="0"/>
    <numFmt numFmtId="169" formatCode="@"/>
    <numFmt numFmtId="170" formatCode="0.0\x"/>
    <numFmt numFmtId="171" formatCode="#,##0.0"/>
    <numFmt numFmtId="172" formatCode="0.00"/>
    <numFmt numFmtId="173" formatCode="0.0%;\(0.0%\);\-"/>
    <numFmt numFmtId="174" formatCode="\$#,##0.00;&quot;($&quot;#,##0.00\);\-"/>
    <numFmt numFmtId="175" formatCode="0.0"/>
    <numFmt numFmtId="176" formatCode="dd\ mmm\ yyyy"/>
    <numFmt numFmtId="177" formatCode="\$0.0000"/>
    <numFmt numFmtId="178" formatCode="\$0.000"/>
    <numFmt numFmtId="179" formatCode="#,##0.00"/>
    <numFmt numFmtId="180" formatCode="0.000"/>
  </numFmts>
  <fonts count="1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95959"/>
      <name val="Arial"/>
      <family val="0"/>
      <charset val="1"/>
    </font>
    <font>
      <b val="true"/>
      <sz val="11"/>
      <name val="Arial"/>
      <family val="0"/>
      <charset val="1"/>
    </font>
    <font>
      <sz val="11"/>
      <name val="Arial"/>
      <family val="0"/>
      <charset val="1"/>
    </font>
    <font>
      <sz val="11"/>
      <color rgb="FF008000"/>
      <name val="Arial"/>
      <family val="0"/>
      <charset val="1"/>
    </font>
    <font>
      <b val="true"/>
      <sz val="11"/>
      <color rgb="FF008000"/>
      <name val="Arial"/>
      <family val="0"/>
      <charset val="1"/>
    </font>
    <font>
      <b val="true"/>
      <sz val="11"/>
      <color rgb="FFFFFFFF"/>
      <name val="Arial"/>
      <family val="0"/>
      <charset val="1"/>
    </font>
    <font>
      <sz val="11"/>
      <color rgb="FF0000FF"/>
      <name val="Arial"/>
      <family val="0"/>
      <charset val="1"/>
    </font>
    <font>
      <i val="true"/>
      <sz val="11"/>
      <name val="Arial"/>
      <family val="0"/>
      <charset val="1"/>
    </font>
    <font>
      <sz val="11"/>
      <color rgb="FF595959"/>
      <name val="Arial"/>
      <family val="0"/>
      <charset val="1"/>
    </font>
    <font>
      <sz val="11"/>
      <name val="WenQuanYi Zen Hei"/>
      <family val="2"/>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DCE6F1"/>
        <bgColor rgb="FFD9EAD3"/>
      </patternFill>
    </fill>
    <fill>
      <patternFill patternType="solid">
        <fgColor rgb="FF1F3A5F"/>
        <bgColor rgb="FF33333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72" fontId="11"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73" fontId="11" fillId="4" borderId="0" xfId="0" applyFont="true" applyBorder="false" applyAlignment="tru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general" vertical="bottom" textRotation="0" wrapText="false" indent="0" shrinkToFit="false"/>
      <protection locked="true" hidden="false"/>
    </xf>
    <xf numFmtId="173" fontId="11" fillId="0" borderId="0" xfId="0" applyFont="true" applyBorder="false" applyAlignment="tru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general" vertical="bottom" textRotation="0" wrapText="false" indent="0" shrinkToFit="false"/>
      <protection locked="true" hidden="false"/>
    </xf>
    <xf numFmtId="169" fontId="11" fillId="4"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74" fontId="11" fillId="4" borderId="0" xfId="0" applyFont="true" applyBorder="fals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5" fontId="11" fillId="0" borderId="0" xfId="0" applyFont="true" applyBorder="false" applyAlignment="true" applyProtection="false">
      <alignment horizontal="general" vertical="bottom" textRotation="0" wrapText="false" indent="0" shrinkToFit="false"/>
      <protection locked="true" hidden="false"/>
    </xf>
    <xf numFmtId="176" fontId="11"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73" fontId="7" fillId="0"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general" vertical="bottom" textRotation="0" wrapText="false" indent="0" shrinkToFit="false"/>
      <protection locked="true" hidden="false"/>
    </xf>
    <xf numFmtId="174" fontId="11"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xf numFmtId="173" fontId="6" fillId="5"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6" fontId="11"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6" fillId="5" borderId="0" xfId="0" applyFont="true" applyBorder="false" applyAlignment="true" applyProtection="false">
      <alignment horizontal="general" vertical="bottom" textRotation="0" wrapText="false" indent="0" shrinkToFit="false"/>
      <protection locked="true" hidden="false"/>
    </xf>
    <xf numFmtId="170" fontId="11" fillId="4"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71" fontId="11" fillId="0" borderId="0" xfId="0" applyFont="true" applyBorder="false" applyAlignment="true" applyProtection="false">
      <alignment horizontal="general" vertical="center" textRotation="0" wrapText="false" indent="0" shrinkToFit="false"/>
      <protection locked="true" hidden="false"/>
    </xf>
    <xf numFmtId="166" fontId="11" fillId="0" borderId="0" xfId="0" applyFont="true" applyBorder="false" applyAlignment="true" applyProtection="false">
      <alignment horizontal="general" vertical="center" textRotation="0" wrapText="false" indent="0" shrinkToFit="false"/>
      <protection locked="true" hidden="false"/>
    </xf>
    <xf numFmtId="177" fontId="7"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6" fontId="11" fillId="4" borderId="0" xfId="0" applyFont="true" applyBorder="false" applyAlignment="true" applyProtection="false">
      <alignment horizontal="general" vertical="center" textRotation="0" wrapText="false" indent="0" shrinkToFit="false"/>
      <protection locked="true" hidden="false"/>
    </xf>
    <xf numFmtId="166" fontId="7" fillId="0" borderId="0" xfId="0" applyFont="true" applyBorder="false" applyAlignment="true" applyProtection="false">
      <alignment horizontal="general" vertical="center" textRotation="0" wrapText="false" indent="0" shrinkToFit="false"/>
      <protection locked="true" hidden="false"/>
    </xf>
    <xf numFmtId="17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74" fontId="6" fillId="0" borderId="0" xfId="0" applyFont="true" applyBorder="false" applyAlignment="true" applyProtection="false">
      <alignment horizontal="general" vertical="bottom" textRotation="0" wrapText="false" indent="0" shrinkToFit="false"/>
      <protection locked="true" hidden="false"/>
    </xf>
    <xf numFmtId="178" fontId="11" fillId="4" borderId="0" xfId="0" applyFont="true" applyBorder="false" applyAlignment="tru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general" vertical="bottom" textRotation="0" wrapText="false" indent="0" shrinkToFit="false"/>
      <protection locked="true" hidden="false"/>
    </xf>
    <xf numFmtId="174" fontId="6" fillId="5"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9" fontId="11" fillId="0" borderId="0" xfId="0" applyFont="true" applyBorder="fals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79" fontId="11" fillId="4" borderId="0" xfId="0" applyFont="true" applyBorder="false" applyAlignment="true" applyProtection="false">
      <alignment horizontal="general" vertical="bottom" textRotation="0" wrapText="false" indent="0" shrinkToFit="false"/>
      <protection locked="true" hidden="false"/>
    </xf>
    <xf numFmtId="180" fontId="7"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color rgb="FF9C0006"/>
      </font>
      <fill>
        <patternFill>
          <bgColor rgb="FFF4CCCC"/>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F2F2F2"/>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4A7EBB"/>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revenue vs total costs (€/month)</a:t>
            </a:r>
          </a:p>
        </c:rich>
      </c:tx>
      <c:overlay val="0"/>
      <c:spPr>
        <a:noFill/>
        <a:ln w="0">
          <a:noFill/>
        </a:ln>
      </c:spPr>
    </c:title>
    <c:autoTitleDeleted val="0"/>
    <c:plotArea>
      <c:lineChart>
        <c:grouping val="standard"/>
        <c:varyColors val="0"/>
        <c:ser>
          <c:idx val="0"/>
          <c:order val="0"/>
          <c:tx>
            <c:strRef>
              <c:f>Projection!A17</c:f>
              <c:strCache>
                <c:ptCount val="1"/>
                <c:pt idx="0">
                  <c:v>+ Credit packs, net of VAT and fees</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Projection!$B$5:$I$5</c:f>
              <c:strCache>
                <c:ptCount val="8"/>
                <c:pt idx="0">
                  <c:v>100</c:v>
                </c:pt>
                <c:pt idx="1">
                  <c:v>500</c:v>
                </c:pt>
                <c:pt idx="2">
                  <c:v>1,000</c:v>
                </c:pt>
                <c:pt idx="3">
                  <c:v>2,500</c:v>
                </c:pt>
                <c:pt idx="4">
                  <c:v>5,000</c:v>
                </c:pt>
                <c:pt idx="5">
                  <c:v>10,000</c:v>
                </c:pt>
                <c:pt idx="6">
                  <c:v>25,000</c:v>
                </c:pt>
                <c:pt idx="7">
                  <c:v>50,000</c:v>
                </c:pt>
              </c:strCache>
            </c:strRef>
          </c:cat>
          <c:val>
            <c:numRef>
              <c:f>Projection!$B$17:$I$17</c:f>
              <c:numCache>
                <c:formatCode>\€#,##0.00;"(€"#,##0.00\);\-</c:formatCode>
                <c:ptCount val="8"/>
                <c:pt idx="0">
                  <c:v>2.9397677553719</c:v>
                </c:pt>
                <c:pt idx="1">
                  <c:v>17.6386065322314</c:v>
                </c:pt>
                <c:pt idx="2">
                  <c:v>35.2772130644628</c:v>
                </c:pt>
                <c:pt idx="3">
                  <c:v>85.2532649057851</c:v>
                </c:pt>
                <c:pt idx="4">
                  <c:v>173.446297566942</c:v>
                </c:pt>
                <c:pt idx="5">
                  <c:v>343.952827378512</c:v>
                </c:pt>
                <c:pt idx="6">
                  <c:v>861.351952323967</c:v>
                </c:pt>
                <c:pt idx="7">
                  <c:v>1719.76413689256</c:v>
                </c:pt>
              </c:numCache>
            </c:numRef>
          </c:val>
          <c:smooth val="1"/>
        </c:ser>
        <c:ser>
          <c:idx val="1"/>
          <c:order val="1"/>
          <c:tx>
            <c:strRef>
              <c:f>Projection!A28</c:f>
              <c:strCache>
                <c:ptCount val="1"/>
                <c:pt idx="0">
                  <c:v>Fixed costs (by stage)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Projection!$B$5:$I$5</c:f>
              <c:strCache>
                <c:ptCount val="8"/>
                <c:pt idx="0">
                  <c:v>100</c:v>
                </c:pt>
                <c:pt idx="1">
                  <c:v>500</c:v>
                </c:pt>
                <c:pt idx="2">
                  <c:v>1,000</c:v>
                </c:pt>
                <c:pt idx="3">
                  <c:v>2,500</c:v>
                </c:pt>
                <c:pt idx="4">
                  <c:v>5,000</c:v>
                </c:pt>
                <c:pt idx="5">
                  <c:v>10,000</c:v>
                </c:pt>
                <c:pt idx="6">
                  <c:v>25,000</c:v>
                </c:pt>
                <c:pt idx="7">
                  <c:v>50,000</c:v>
                </c:pt>
              </c:strCache>
            </c:strRef>
          </c:cat>
          <c:val>
            <c:numRef>
              <c:f>Projection!$B$28:$I$28</c:f>
              <c:numCache>
                <c:formatCode>\€#,##0.00;"(€"#,##0.00\);\-</c:formatCode>
                <c:ptCount val="8"/>
                <c:pt idx="0">
                  <c:v>232.68245</c:v>
                </c:pt>
                <c:pt idx="1">
                  <c:v>232.68245</c:v>
                </c:pt>
                <c:pt idx="2">
                  <c:v>232.68245</c:v>
                </c:pt>
                <c:pt idx="3">
                  <c:v>355.32145</c:v>
                </c:pt>
                <c:pt idx="4">
                  <c:v>355.32145</c:v>
                </c:pt>
                <c:pt idx="5">
                  <c:v>355.32145</c:v>
                </c:pt>
                <c:pt idx="6">
                  <c:v>736.5767</c:v>
                </c:pt>
                <c:pt idx="7">
                  <c:v>736.5767</c:v>
                </c:pt>
              </c:numCache>
            </c:numRef>
          </c:val>
          <c:smooth val="1"/>
        </c:ser>
        <c:hiLowLines>
          <c:spPr>
            <a:ln w="0">
              <a:noFill/>
            </a:ln>
          </c:spPr>
        </c:hiLowLines>
        <c:marker val="0"/>
        <c:axId val="54548061"/>
        <c:axId val="39919385"/>
      </c:lineChart>
      <c:catAx>
        <c:axId val="545480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Active users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919385"/>
        <c:crosses val="autoZero"/>
        <c:auto val="1"/>
        <c:lblAlgn val="ctr"/>
        <c:lblOffset val="100"/>
        <c:noMultiLvlLbl val="0"/>
      </c:catAx>
      <c:valAx>
        <c:axId val="3991938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 month</a:t>
                </a:r>
              </a:p>
            </c:rich>
          </c:tx>
          <c:overlay val="0"/>
          <c:spPr>
            <a:noFill/>
            <a:ln w="0">
              <a:noFill/>
            </a:ln>
          </c:spPr>
        </c:title>
        <c:numFmt formatCode="\€#,##0.00;&quot;(€&quot;#,##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5480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160920</xdr:rowOff>
    </xdr:from>
    <xdr:to>
      <xdr:col>3</xdr:col>
      <xdr:colOff>629640</xdr:colOff>
      <xdr:row>68</xdr:row>
      <xdr:rowOff>161640</xdr:rowOff>
    </xdr:to>
    <xdr:graphicFrame>
      <xdr:nvGraphicFramePr>
        <xdr:cNvPr id="0" name="Chart 1"/>
        <xdr:cNvGraphicFramePr/>
      </xdr:nvGraphicFramePr>
      <xdr:xfrm>
        <a:off x="0" y="10114560"/>
        <a:ext cx="6409440" cy="3658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1" width="66"/>
    <col collapsed="false" customWidth="true" hidden="false" outlineLevel="0" max="9" min="2" style="1" width="13"/>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row>
    <row r="5" customFormat="false" ht="15" hidden="false" customHeight="true" outlineLevel="0" collapsed="false">
      <c r="A5" s="6" t="s">
        <v>3</v>
      </c>
      <c r="B5" s="7" t="n">
        <f aca="false">Assumptions!$B$10</f>
        <v>4.99</v>
      </c>
      <c r="C5" s="7" t="n">
        <f aca="false">Assumptions!$B$11</f>
        <v>49.99</v>
      </c>
    </row>
    <row r="6" customFormat="false" ht="15" hidden="false" customHeight="true" outlineLevel="0" collapsed="false">
      <c r="A6" s="6" t="s">
        <v>4</v>
      </c>
      <c r="B6" s="7" t="n">
        <f aca="false">Assumptions!$B$12</f>
        <v>7.99</v>
      </c>
      <c r="C6" s="7" t="n">
        <f aca="false">Assumptions!$B$13</f>
        <v>59.99</v>
      </c>
    </row>
    <row r="8" customFormat="false" ht="15" hidden="false" customHeight="true" outlineLevel="0" collapsed="false">
      <c r="A8" s="4" t="s">
        <v>5</v>
      </c>
      <c r="B8" s="5"/>
    </row>
    <row r="9" customFormat="false" ht="15" hidden="false" customHeight="true" outlineLevel="0" collapsed="false">
      <c r="A9" s="8" t="s">
        <v>6</v>
      </c>
      <c r="B9" s="9" t="n">
        <f aca="false">'Start-up costs'!$I$23</f>
        <v>979.327</v>
      </c>
    </row>
    <row r="10" customFormat="false" ht="15" hidden="false" customHeight="true" outlineLevel="0" collapsed="false">
      <c r="A10" s="6" t="s">
        <v>7</v>
      </c>
      <c r="B10" s="7" t="n">
        <f aca="false">'Start-up costs'!$I$24</f>
        <v>3729.327</v>
      </c>
    </row>
    <row r="12" customFormat="false" ht="15" hidden="false" customHeight="true" outlineLevel="0" collapsed="false">
      <c r="A12" s="4" t="s">
        <v>8</v>
      </c>
      <c r="B12" s="5"/>
    </row>
    <row r="13" customFormat="false" ht="15" hidden="false" customHeight="true" outlineLevel="0" collapsed="false">
      <c r="A13" s="8" t="s">
        <v>9</v>
      </c>
      <c r="B13" s="9" t="n">
        <f aca="false">'Fixed costs'!$I$24</f>
        <v>232.68245</v>
      </c>
    </row>
    <row r="14" customFormat="false" ht="15" hidden="false" customHeight="true" outlineLevel="0" collapsed="false">
      <c r="A14" s="6" t="s">
        <v>10</v>
      </c>
      <c r="B14" s="7" t="n">
        <f aca="false">'Fixed costs'!$J$24</f>
        <v>355.32145</v>
      </c>
    </row>
    <row r="15" customFormat="false" ht="15" hidden="false" customHeight="true" outlineLevel="0" collapsed="false">
      <c r="A15" s="6" t="s">
        <v>11</v>
      </c>
      <c r="B15" s="7" t="n">
        <f aca="false">'Fixed costs'!$K$24</f>
        <v>736.5767</v>
      </c>
    </row>
    <row r="16" customFormat="false" ht="15" hidden="false" customHeight="true" outlineLevel="0" collapsed="false">
      <c r="A16" s="8" t="s">
        <v>12</v>
      </c>
      <c r="B16" s="9" t="n">
        <f aca="false">'Start-up costs'!$I$23+12*'Fixed costs'!$I$24</f>
        <v>3771.5164</v>
      </c>
    </row>
    <row r="18" customFormat="false" ht="15" hidden="false" customHeight="true" outlineLevel="0" collapsed="false">
      <c r="A18" s="4" t="s">
        <v>13</v>
      </c>
      <c r="B18" s="5"/>
    </row>
    <row r="19" customFormat="false" ht="15" hidden="false" customHeight="true" outlineLevel="0" collapsed="false">
      <c r="A19" s="6" t="s">
        <v>14</v>
      </c>
      <c r="B19" s="7" t="n">
        <f aca="false">'Unit economics'!$O$11</f>
        <v>1.99764212554738</v>
      </c>
    </row>
    <row r="20" customFormat="false" ht="15" hidden="false" customHeight="true" outlineLevel="0" collapsed="false">
      <c r="A20" s="6" t="s">
        <v>15</v>
      </c>
      <c r="B20" s="7" t="n">
        <f aca="false">'Unit economics'!$O$12</f>
        <v>3.40580548859422</v>
      </c>
    </row>
    <row r="21" customFormat="false" ht="15" hidden="false" customHeight="true" outlineLevel="0" collapsed="false">
      <c r="A21" s="8" t="s">
        <v>16</v>
      </c>
      <c r="B21" s="9" t="n">
        <f aca="false">'Unit economics'!$O$13</f>
        <v>2.25367182791953</v>
      </c>
    </row>
    <row r="22" customFormat="false" ht="15" hidden="false" customHeight="true" outlineLevel="0" collapsed="false">
      <c r="A22" s="6" t="s">
        <v>17</v>
      </c>
      <c r="B22" s="7" t="n">
        <f aca="false">'Unit economics'!$R$13</f>
        <v>-0.0441621720804661</v>
      </c>
    </row>
    <row r="23" customFormat="false" ht="15" hidden="false" customHeight="true" outlineLevel="0" collapsed="false">
      <c r="A23" s="6" t="s">
        <v>18</v>
      </c>
      <c r="B23" s="7" t="n">
        <f aca="false">'Unit economics'!$C$29</f>
        <v>0.030812</v>
      </c>
    </row>
    <row r="25" customFormat="false" ht="15" hidden="false" customHeight="true" outlineLevel="0" collapsed="false">
      <c r="A25" s="4" t="s">
        <v>19</v>
      </c>
      <c r="B25" s="5"/>
    </row>
    <row r="26" customFormat="false" ht="15" hidden="false" customHeight="true" outlineLevel="0" collapsed="false">
      <c r="A26" s="8" t="s">
        <v>20</v>
      </c>
      <c r="B26" s="10" t="n">
        <f aca="false">'Unit economics'!$D$23</f>
        <v>100</v>
      </c>
    </row>
    <row r="27" customFormat="false" ht="15" hidden="false" customHeight="true" outlineLevel="0" collapsed="false">
      <c r="A27" s="8" t="s">
        <v>21</v>
      </c>
      <c r="B27" s="10" t="n">
        <f aca="false">'Unit economics'!$E$23</f>
        <v>1801</v>
      </c>
    </row>
    <row r="29" customFormat="false" ht="15" hidden="false" customHeight="true" outlineLevel="0" collapsed="false">
      <c r="A29" s="4" t="s">
        <v>22</v>
      </c>
      <c r="B29" s="5"/>
    </row>
    <row r="30" customFormat="false" ht="15" hidden="false" customHeight="true" outlineLevel="0" collapsed="false">
      <c r="A30" s="8" t="s">
        <v>23</v>
      </c>
      <c r="B30" s="10" t="n">
        <f aca="false">Projection!B5</f>
        <v>100</v>
      </c>
      <c r="C30" s="10" t="n">
        <f aca="false">Projection!C5</f>
        <v>500</v>
      </c>
      <c r="D30" s="10" t="n">
        <f aca="false">Projection!D5</f>
        <v>1000</v>
      </c>
      <c r="E30" s="10" t="n">
        <f aca="false">Projection!E5</f>
        <v>2500</v>
      </c>
      <c r="F30" s="10" t="n">
        <f aca="false">Projection!F5</f>
        <v>5000</v>
      </c>
      <c r="G30" s="10" t="n">
        <f aca="false">Projection!G5</f>
        <v>10000</v>
      </c>
      <c r="H30" s="10" t="n">
        <f aca="false">Projection!H5</f>
        <v>25000</v>
      </c>
      <c r="I30" s="10" t="n">
        <f aca="false">Projection!I5</f>
        <v>50000</v>
      </c>
    </row>
    <row r="31" customFormat="false" ht="15" hidden="false" customHeight="true" outlineLevel="0" collapsed="false">
      <c r="A31" s="6" t="s">
        <v>24</v>
      </c>
      <c r="B31" s="11" t="n">
        <f aca="false">Projection!B18</f>
        <v>19.8153217685556</v>
      </c>
      <c r="C31" s="11" t="n">
        <f aca="false">Projection!C18</f>
        <v>96.9696556058846</v>
      </c>
      <c r="D31" s="11" t="n">
        <f aca="false">Projection!D18</f>
        <v>191.415950715636</v>
      </c>
      <c r="E31" s="11" t="n">
        <f aca="false">Projection!E18</f>
        <v>476.861789281785</v>
      </c>
      <c r="F31" s="11" t="n">
        <f aca="false">Projection!F18</f>
        <v>954.13998582281</v>
      </c>
      <c r="G31" s="11" t="n">
        <f aca="false">Projection!G18</f>
        <v>1905.34020389025</v>
      </c>
      <c r="H31" s="11" t="n">
        <f aca="false">Projection!H18</f>
        <v>4426.67967790083</v>
      </c>
      <c r="I31" s="11" t="n">
        <f aca="false">Projection!I18</f>
        <v>8850.41958804628</v>
      </c>
    </row>
    <row r="32" customFormat="false" ht="15" hidden="false" customHeight="true" outlineLevel="0" collapsed="false">
      <c r="A32" s="6" t="s">
        <v>25</v>
      </c>
      <c r="B32" s="11" t="n">
        <f aca="false">Projection!B29</f>
        <v>237.561452</v>
      </c>
      <c r="C32" s="11" t="n">
        <f aca="false">Projection!C29</f>
        <v>256.53716</v>
      </c>
      <c r="D32" s="11" t="n">
        <f aca="false">Projection!D29</f>
        <v>280.12172</v>
      </c>
      <c r="E32" s="11" t="n">
        <f aca="false">Projection!E29</f>
        <v>474.0547</v>
      </c>
      <c r="F32" s="11" t="n">
        <f aca="false">Projection!F29</f>
        <v>592.5178</v>
      </c>
      <c r="G32" s="11" t="n">
        <f aca="false">Projection!G29</f>
        <v>829.71415</v>
      </c>
      <c r="H32" s="11" t="n">
        <f aca="false">Projection!H29</f>
        <v>1922.55845</v>
      </c>
      <c r="I32" s="11" t="n">
        <f aca="false">Projection!I29</f>
        <v>3108.5402</v>
      </c>
    </row>
    <row r="33" customFormat="false" ht="15" hidden="false" customHeight="true" outlineLevel="0" collapsed="false">
      <c r="A33" s="6" t="s">
        <v>26</v>
      </c>
      <c r="B33" s="11" t="n">
        <f aca="false">Projection!B34</f>
        <v>0</v>
      </c>
      <c r="C33" s="11" t="n">
        <f aca="false">Projection!C34</f>
        <v>0</v>
      </c>
      <c r="D33" s="11" t="n">
        <f aca="false">Projection!D34</f>
        <v>0</v>
      </c>
      <c r="E33" s="11" t="n">
        <f aca="false">Projection!E34</f>
        <v>0</v>
      </c>
      <c r="F33" s="11" t="n">
        <f aca="false">Projection!F34</f>
        <v>0</v>
      </c>
      <c r="G33" s="11" t="n">
        <f aca="false">Projection!G34</f>
        <v>72.0997410475007</v>
      </c>
      <c r="H33" s="11" t="n">
        <f aca="false">Projection!H34</f>
        <v>513.344851719669</v>
      </c>
      <c r="I33" s="11" t="n">
        <f aca="false">Projection!I34</f>
        <v>1177.08527454949</v>
      </c>
    </row>
    <row r="34" customFormat="false" ht="15" hidden="false" customHeight="true" outlineLevel="0" collapsed="false">
      <c r="A34" s="6" t="s">
        <v>27</v>
      </c>
      <c r="B34" s="11" t="n">
        <f aca="false">Projection!B35</f>
        <v>-217.746130231444</v>
      </c>
      <c r="C34" s="11" t="n">
        <f aca="false">Projection!C35</f>
        <v>-159.567504394115</v>
      </c>
      <c r="D34" s="11" t="n">
        <f aca="false">Projection!D35</f>
        <v>-88.7057692843636</v>
      </c>
      <c r="E34" s="11" t="n">
        <f aca="false">Projection!E35</f>
        <v>2.80708928178541</v>
      </c>
      <c r="F34" s="11" t="n">
        <f aca="false">Projection!F35</f>
        <v>361.62218582281</v>
      </c>
      <c r="G34" s="11" t="n">
        <f aca="false">Projection!G35</f>
        <v>1003.52631284275</v>
      </c>
      <c r="H34" s="11" t="n">
        <f aca="false">Projection!H35</f>
        <v>1990.77637618116</v>
      </c>
      <c r="I34" s="11" t="n">
        <f aca="false">Projection!I35</f>
        <v>4564.79411349679</v>
      </c>
    </row>
    <row r="35" customFormat="false" ht="15" hidden="false" customHeight="true" outlineLevel="0" collapsed="false">
      <c r="A35" s="6" t="s">
        <v>28</v>
      </c>
      <c r="B35" s="12" t="n">
        <f aca="false">Projection!B23</f>
        <v>1</v>
      </c>
      <c r="C35" s="12" t="n">
        <f aca="false">Projection!C23</f>
        <v>1</v>
      </c>
      <c r="D35" s="12" t="n">
        <f aca="false">Projection!D23</f>
        <v>1</v>
      </c>
      <c r="E35" s="12" t="n">
        <f aca="false">Projection!E23</f>
        <v>1</v>
      </c>
      <c r="F35" s="12" t="n">
        <f aca="false">Projection!F23</f>
        <v>1</v>
      </c>
      <c r="G35" s="12" t="n">
        <f aca="false">Projection!G23</f>
        <v>1</v>
      </c>
      <c r="H35" s="12" t="n">
        <f aca="false">Projection!H23</f>
        <v>0</v>
      </c>
      <c r="I35" s="12" t="n">
        <f aca="false">Projection!I23</f>
        <v>0</v>
      </c>
    </row>
    <row r="36" customFormat="false" ht="15" hidden="false" customHeight="true" outlineLevel="0" collapsed="false">
      <c r="A36" s="6" t="s">
        <v>29</v>
      </c>
      <c r="B36" s="13" t="str">
        <f aca="false">Projection!B37</f>
        <v>yes</v>
      </c>
      <c r="C36" s="13" t="str">
        <f aca="false">Projection!C37</f>
        <v>yes</v>
      </c>
      <c r="D36" s="13" t="str">
        <f aca="false">Projection!D37</f>
        <v>yes</v>
      </c>
      <c r="E36" s="13" t="str">
        <f aca="false">Projection!E37</f>
        <v>yes</v>
      </c>
      <c r="F36" s="13" t="str">
        <f aca="false">Projection!F37</f>
        <v>yes</v>
      </c>
      <c r="G36" s="13" t="str">
        <f aca="false">Projection!G37</f>
        <v>yes</v>
      </c>
      <c r="H36" s="13" t="str">
        <f aca="false">Projection!H37</f>
        <v>no: full-time rates</v>
      </c>
      <c r="I36" s="13" t="str">
        <f aca="false">Projection!I37</f>
        <v>no: full-time rates</v>
      </c>
    </row>
    <row r="37" customFormat="false" ht="15" hidden="false" customHeight="true" outlineLevel="0" collapsed="false">
      <c r="A37" s="6" t="s">
        <v>30</v>
      </c>
      <c r="B37" s="7" t="n">
        <f aca="false">Projection!B40</f>
        <v>2.37561452</v>
      </c>
      <c r="C37" s="7" t="n">
        <f aca="false">Projection!C40</f>
        <v>0.51307432</v>
      </c>
      <c r="D37" s="7" t="n">
        <f aca="false">Projection!D40</f>
        <v>0.28012172</v>
      </c>
      <c r="E37" s="7" t="n">
        <f aca="false">Projection!E40</f>
        <v>0.18962188</v>
      </c>
      <c r="F37" s="7" t="n">
        <f aca="false">Projection!F40</f>
        <v>0.11850356</v>
      </c>
      <c r="G37" s="7" t="n">
        <f aca="false">Projection!G40</f>
        <v>0.082971415</v>
      </c>
      <c r="H37" s="7" t="n">
        <f aca="false">Projection!H40</f>
        <v>0.076902338</v>
      </c>
      <c r="I37" s="7" t="n">
        <f aca="false">Projection!I40</f>
        <v>0.062170804</v>
      </c>
    </row>
    <row r="38" customFormat="false" ht="15" hidden="false" customHeight="true" outlineLevel="0" collapsed="false">
      <c r="A38" s="6" t="s">
        <v>31</v>
      </c>
      <c r="B38" s="7" t="n">
        <f aca="false">Projection!B41</f>
        <v>39.5935753333333</v>
      </c>
      <c r="C38" s="7" t="n">
        <f aca="false">Projection!C41</f>
        <v>9.16204142857143</v>
      </c>
      <c r="D38" s="7" t="n">
        <f aca="false">Projection!D41</f>
        <v>5.09312218181818</v>
      </c>
      <c r="E38" s="7" t="n">
        <f aca="false">Projection!E41</f>
        <v>3.43517898550725</v>
      </c>
      <c r="F38" s="7" t="n">
        <f aca="false">Projection!F41</f>
        <v>2.15461018181818</v>
      </c>
      <c r="G38" s="7" t="n">
        <f aca="false">Projection!G41</f>
        <v>1.50857118181818</v>
      </c>
      <c r="H38" s="7" t="n">
        <f aca="false">Projection!H41</f>
        <v>1.39822432727273</v>
      </c>
      <c r="I38" s="7" t="n">
        <f aca="false">Projection!I41</f>
        <v>1.13037825454545</v>
      </c>
    </row>
    <row r="40" customFormat="false" ht="15" hidden="false" customHeight="false" outlineLevel="0" collapsed="false">
      <c r="A40" s="14" t="s">
        <v>32</v>
      </c>
      <c r="B40" s="14"/>
    </row>
    <row r="41" customFormat="false" ht="15" hidden="false" customHeight="false" outlineLevel="0" collapsed="false">
      <c r="A41" s="6" t="s">
        <v>33</v>
      </c>
      <c r="B41" s="15" t="n">
        <f aca="false">Assumptions!$B$59</f>
        <v>25</v>
      </c>
    </row>
    <row r="42" customFormat="false" ht="15" hidden="false" customHeight="false" outlineLevel="0" collapsed="false">
      <c r="A42" s="6" t="s">
        <v>34</v>
      </c>
      <c r="B42" s="15" t="n">
        <f aca="false">'Unit economics'!$E$23</f>
        <v>1801</v>
      </c>
    </row>
    <row r="43" customFormat="false" ht="15" hidden="false" customHeight="false" outlineLevel="0" collapsed="false">
      <c r="A43" s="6" t="s">
        <v>35</v>
      </c>
      <c r="B43" s="16" t="n">
        <f aca="false">IF(OR(B41=0,NOT(ISNUMBER(B42))),0,B42/B41)</f>
        <v>72.04</v>
      </c>
    </row>
    <row r="44" customFormat="false" ht="15" hidden="false" customHeight="false" outlineLevel="0" collapsed="false">
      <c r="A44" s="6" t="s">
        <v>36</v>
      </c>
      <c r="B44" s="17" t="n">
        <f aca="true">MAX(0,Assumptions!$B$60-TODAY())</f>
        <v>66</v>
      </c>
    </row>
    <row r="45" customFormat="false" ht="15" hidden="false" customHeight="false" outlineLevel="0" collapsed="false">
      <c r="A45" s="6" t="s">
        <v>37</v>
      </c>
      <c r="B45" s="18" t="n">
        <f aca="false">IF(OR(B44=0,NOT(ISNUMBER(B42))),0,(B42-B41)/B44)</f>
        <v>26.9090909090909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52"/>
    <col collapsed="false" customWidth="true" hidden="false" outlineLevel="0" max="2" min="2" style="1" width="12"/>
    <col collapsed="false" customWidth="true" hidden="false" outlineLevel="0" max="3" min="3" style="1" width="18"/>
    <col collapsed="false" customWidth="true" hidden="false" outlineLevel="0" max="4" min="4" style="1" width="110"/>
  </cols>
  <sheetData>
    <row r="1" customFormat="false" ht="17.25" hidden="false" customHeight="true" outlineLevel="0" collapsed="false">
      <c r="A1" s="2" t="s">
        <v>38</v>
      </c>
    </row>
    <row r="2" customFormat="false" ht="15" hidden="false" customHeight="true" outlineLevel="0" collapsed="false">
      <c r="A2" s="3" t="s">
        <v>39</v>
      </c>
    </row>
    <row r="4" customFormat="false" ht="15" hidden="false" customHeight="true" outlineLevel="0" collapsed="false">
      <c r="A4" s="19" t="s">
        <v>40</v>
      </c>
      <c r="B4" s="19" t="s">
        <v>41</v>
      </c>
      <c r="C4" s="19" t="s">
        <v>42</v>
      </c>
      <c r="D4" s="19" t="s">
        <v>43</v>
      </c>
    </row>
    <row r="5" customFormat="false" ht="15" hidden="false" customHeight="true" outlineLevel="0" collapsed="false">
      <c r="A5" s="4" t="s">
        <v>44</v>
      </c>
      <c r="B5" s="5"/>
      <c r="C5" s="5"/>
      <c r="D5" s="5"/>
    </row>
    <row r="6" customFormat="false" ht="15" hidden="false" customHeight="true" outlineLevel="0" collapsed="false">
      <c r="A6" s="6" t="s">
        <v>45</v>
      </c>
      <c r="B6" s="20" t="n">
        <v>0.86</v>
      </c>
      <c r="C6" s="6" t="s">
        <v>46</v>
      </c>
      <c r="D6" s="21" t="s">
        <v>47</v>
      </c>
    </row>
    <row r="7" customFormat="false" ht="15" hidden="false" customHeight="true" outlineLevel="0" collapsed="false">
      <c r="A7" s="6" t="s">
        <v>48</v>
      </c>
      <c r="B7" s="22" t="n">
        <v>0.21</v>
      </c>
      <c r="C7" s="6" t="s">
        <v>49</v>
      </c>
      <c r="D7" s="21" t="s">
        <v>50</v>
      </c>
    </row>
    <row r="8" customFormat="false" ht="26.25" hidden="false" customHeight="true" outlineLevel="0" collapsed="false">
      <c r="A8" s="6" t="s">
        <v>51</v>
      </c>
      <c r="B8" s="22" t="n">
        <v>0.21</v>
      </c>
      <c r="C8" s="6" t="s">
        <v>49</v>
      </c>
      <c r="D8" s="21" t="s">
        <v>52</v>
      </c>
    </row>
    <row r="9" customFormat="false" ht="15" hidden="false" customHeight="true" outlineLevel="0" collapsed="false">
      <c r="A9" s="4" t="s">
        <v>53</v>
      </c>
      <c r="B9" s="5"/>
      <c r="C9" s="5"/>
      <c r="D9" s="5"/>
    </row>
    <row r="10" customFormat="false" ht="15" hidden="false" customHeight="true" outlineLevel="0" collapsed="false">
      <c r="A10" s="6" t="s">
        <v>54</v>
      </c>
      <c r="B10" s="23" t="n">
        <v>4.99</v>
      </c>
      <c r="C10" s="6" t="s">
        <v>55</v>
      </c>
      <c r="D10" s="21" t="s">
        <v>56</v>
      </c>
    </row>
    <row r="11" customFormat="false" ht="15" hidden="false" customHeight="true" outlineLevel="0" collapsed="false">
      <c r="A11" s="6" t="s">
        <v>57</v>
      </c>
      <c r="B11" s="23" t="n">
        <v>49.99</v>
      </c>
      <c r="C11" s="6" t="s">
        <v>58</v>
      </c>
      <c r="D11" s="21" t="s">
        <v>59</v>
      </c>
    </row>
    <row r="12" customFormat="false" ht="15" hidden="false" customHeight="true" outlineLevel="0" collapsed="false">
      <c r="A12" s="6" t="s">
        <v>60</v>
      </c>
      <c r="B12" s="23" t="n">
        <v>7.99</v>
      </c>
      <c r="C12" s="6" t="s">
        <v>55</v>
      </c>
      <c r="D12" s="21" t="s">
        <v>61</v>
      </c>
    </row>
    <row r="13" customFormat="false" ht="15" hidden="false" customHeight="true" outlineLevel="0" collapsed="false">
      <c r="A13" s="6" t="s">
        <v>62</v>
      </c>
      <c r="B13" s="23" t="n">
        <v>59.99</v>
      </c>
      <c r="C13" s="6" t="s">
        <v>58</v>
      </c>
      <c r="D13" s="21" t="s">
        <v>63</v>
      </c>
    </row>
    <row r="14" customFormat="false" ht="15" hidden="false" customHeight="true" outlineLevel="0" collapsed="false">
      <c r="A14" s="4" t="s">
        <v>64</v>
      </c>
      <c r="B14" s="5"/>
      <c r="C14" s="5"/>
      <c r="D14" s="5"/>
    </row>
    <row r="15" customFormat="false" ht="15" hidden="false" customHeight="true" outlineLevel="0" collapsed="false">
      <c r="A15" s="6" t="s">
        <v>65</v>
      </c>
      <c r="B15" s="22" t="n">
        <v>0.045</v>
      </c>
      <c r="C15" s="6" t="s">
        <v>66</v>
      </c>
      <c r="D15" s="21" t="s">
        <v>67</v>
      </c>
    </row>
    <row r="16" customFormat="false" ht="15" hidden="false" customHeight="true" outlineLevel="0" collapsed="false">
      <c r="A16" s="6" t="s">
        <v>68</v>
      </c>
      <c r="B16" s="22" t="n">
        <v>0.01</v>
      </c>
      <c r="C16" s="6" t="s">
        <v>66</v>
      </c>
      <c r="D16" s="21" t="s">
        <v>69</v>
      </c>
    </row>
    <row r="17" customFormat="false" ht="15" hidden="false" customHeight="true" outlineLevel="0" collapsed="false">
      <c r="A17" s="6" t="s">
        <v>70</v>
      </c>
      <c r="B17" s="22" t="n">
        <v>0.7</v>
      </c>
      <c r="C17" s="6" t="s">
        <v>71</v>
      </c>
      <c r="D17" s="21" t="s">
        <v>72</v>
      </c>
    </row>
    <row r="18" customFormat="false" ht="15" hidden="false" customHeight="true" outlineLevel="0" collapsed="false">
      <c r="A18" s="6" t="s">
        <v>73</v>
      </c>
      <c r="B18" s="22" t="n">
        <v>0.45</v>
      </c>
      <c r="C18" s="6" t="s">
        <v>74</v>
      </c>
      <c r="D18" s="21" t="s">
        <v>75</v>
      </c>
    </row>
    <row r="19" customFormat="false" ht="15" hidden="false" customHeight="true" outlineLevel="0" collapsed="false">
      <c r="A19" s="6" t="s">
        <v>76</v>
      </c>
      <c r="B19" s="22" t="n">
        <v>0.6</v>
      </c>
      <c r="C19" s="6" t="s">
        <v>77</v>
      </c>
      <c r="D19" s="21" t="s">
        <v>78</v>
      </c>
    </row>
    <row r="20" customFormat="false" ht="15" hidden="false" customHeight="true" outlineLevel="0" collapsed="false">
      <c r="A20" s="4" t="s">
        <v>79</v>
      </c>
      <c r="B20" s="5"/>
      <c r="C20" s="5"/>
      <c r="D20" s="5"/>
    </row>
    <row r="21" customFormat="false" ht="26.25" hidden="false" customHeight="true" outlineLevel="0" collapsed="false">
      <c r="A21" s="6" t="s">
        <v>80</v>
      </c>
      <c r="B21" s="24" t="n">
        <v>0.15</v>
      </c>
      <c r="C21" s="6" t="s">
        <v>81</v>
      </c>
      <c r="D21" s="21" t="s">
        <v>82</v>
      </c>
    </row>
    <row r="22" customFormat="false" ht="15" hidden="false" customHeight="true" outlineLevel="0" collapsed="false">
      <c r="A22" s="6" t="s">
        <v>83</v>
      </c>
      <c r="B22" s="24" t="n">
        <v>0.015</v>
      </c>
      <c r="C22" s="6" t="s">
        <v>84</v>
      </c>
      <c r="D22" s="21" t="s">
        <v>85</v>
      </c>
    </row>
    <row r="23" customFormat="false" ht="15" hidden="false" customHeight="true" outlineLevel="0" collapsed="false">
      <c r="A23" s="6" t="s">
        <v>86</v>
      </c>
      <c r="B23" s="25" t="n">
        <v>0.25</v>
      </c>
      <c r="C23" s="6" t="s">
        <v>87</v>
      </c>
      <c r="D23" s="21" t="s">
        <v>88</v>
      </c>
    </row>
    <row r="24" customFormat="false" ht="15" hidden="false" customHeight="true" outlineLevel="0" collapsed="false">
      <c r="A24" s="6" t="s">
        <v>89</v>
      </c>
      <c r="B24" s="24" t="n">
        <v>0.007</v>
      </c>
      <c r="C24" s="6" t="s">
        <v>84</v>
      </c>
      <c r="D24" s="21" t="s">
        <v>90</v>
      </c>
    </row>
    <row r="25" customFormat="false" ht="15" hidden="false" customHeight="true" outlineLevel="0" collapsed="false">
      <c r="A25" s="4" t="s">
        <v>91</v>
      </c>
      <c r="B25" s="5"/>
      <c r="C25" s="5"/>
      <c r="D25" s="5"/>
    </row>
    <row r="26" customFormat="false" ht="15" hidden="false" customHeight="true" outlineLevel="0" collapsed="false">
      <c r="A26" s="6" t="s">
        <v>92</v>
      </c>
      <c r="B26" s="26" t="s">
        <v>93</v>
      </c>
      <c r="C26" s="6" t="s">
        <v>94</v>
      </c>
      <c r="D26" s="21" t="s">
        <v>95</v>
      </c>
    </row>
    <row r="27" customFormat="false" ht="15" hidden="false" customHeight="true" outlineLevel="0" collapsed="false">
      <c r="A27" s="6" t="s">
        <v>96</v>
      </c>
      <c r="B27" s="27" t="n">
        <v>25000</v>
      </c>
      <c r="C27" s="6" t="s">
        <v>58</v>
      </c>
      <c r="D27" s="21" t="s">
        <v>97</v>
      </c>
    </row>
    <row r="28" customFormat="false" ht="26.25" hidden="false" customHeight="true" outlineLevel="0" collapsed="false">
      <c r="A28" s="6" t="s">
        <v>98</v>
      </c>
      <c r="B28" s="27" t="n">
        <v>10000</v>
      </c>
      <c r="C28" s="6" t="s">
        <v>58</v>
      </c>
      <c r="D28" s="21" t="s">
        <v>99</v>
      </c>
    </row>
    <row r="29" customFormat="false" ht="15" hidden="false" customHeight="true" outlineLevel="0" collapsed="false">
      <c r="A29" s="6" t="s">
        <v>100</v>
      </c>
      <c r="B29" s="22" t="n">
        <v>0.8</v>
      </c>
      <c r="C29" s="6" t="s">
        <v>101</v>
      </c>
      <c r="D29" s="21" t="s">
        <v>102</v>
      </c>
    </row>
    <row r="30" customFormat="false" ht="15" hidden="false" customHeight="true" outlineLevel="0" collapsed="false">
      <c r="A30" s="4" t="s">
        <v>103</v>
      </c>
      <c r="B30" s="5"/>
      <c r="C30" s="5"/>
      <c r="D30" s="5"/>
    </row>
    <row r="31" customFormat="false" ht="26.25" hidden="false" customHeight="true" outlineLevel="0" collapsed="false">
      <c r="A31" s="6" t="s">
        <v>104</v>
      </c>
      <c r="B31" s="28" t="n">
        <v>0.27</v>
      </c>
      <c r="C31" s="6" t="s">
        <v>105</v>
      </c>
      <c r="D31" s="21" t="s">
        <v>106</v>
      </c>
    </row>
    <row r="32" customFormat="false" ht="15" hidden="false" customHeight="true" outlineLevel="0" collapsed="false">
      <c r="A32" s="6" t="s">
        <v>107</v>
      </c>
      <c r="B32" s="29" t="n">
        <f aca="false">'AI worst case'!$L$26</f>
        <v>2.4</v>
      </c>
      <c r="C32" s="6" t="s">
        <v>105</v>
      </c>
      <c r="D32" s="21" t="s">
        <v>108</v>
      </c>
    </row>
    <row r="33" customFormat="false" ht="15" hidden="false" customHeight="true" outlineLevel="0" collapsed="false">
      <c r="A33" s="6" t="s">
        <v>109</v>
      </c>
      <c r="B33" s="28" t="n">
        <v>0.44</v>
      </c>
      <c r="C33" s="6" t="s">
        <v>105</v>
      </c>
      <c r="D33" s="21" t="s">
        <v>110</v>
      </c>
    </row>
    <row r="34" customFormat="false" ht="15" hidden="false" customHeight="true" outlineLevel="0" collapsed="false">
      <c r="A34" s="6" t="s">
        <v>111</v>
      </c>
      <c r="B34" s="29" t="n">
        <f aca="false">'AI worst case'!$M$26</f>
        <v>3</v>
      </c>
      <c r="C34" s="6" t="s">
        <v>105</v>
      </c>
      <c r="D34" s="21" t="s">
        <v>108</v>
      </c>
    </row>
    <row r="35" customFormat="false" ht="15" hidden="false" customHeight="true" outlineLevel="0" collapsed="false">
      <c r="A35" s="6" t="s">
        <v>112</v>
      </c>
      <c r="B35" s="25" t="n">
        <v>0.01</v>
      </c>
      <c r="C35" s="6" t="s">
        <v>55</v>
      </c>
      <c r="D35" s="21" t="s">
        <v>113</v>
      </c>
    </row>
    <row r="36" customFormat="false" ht="15" hidden="false" customHeight="true" outlineLevel="0" collapsed="false">
      <c r="A36" s="6" t="s">
        <v>114</v>
      </c>
      <c r="B36" s="25" t="n">
        <v>0.02</v>
      </c>
      <c r="C36" s="6" t="s">
        <v>55</v>
      </c>
      <c r="D36" s="21" t="s">
        <v>115</v>
      </c>
    </row>
    <row r="37" customFormat="false" ht="15" hidden="false" customHeight="true" outlineLevel="0" collapsed="false">
      <c r="A37" s="4" t="s">
        <v>116</v>
      </c>
      <c r="B37" s="5"/>
      <c r="C37" s="5"/>
      <c r="D37" s="5"/>
    </row>
    <row r="38" customFormat="false" ht="15" hidden="false" customHeight="true" outlineLevel="0" collapsed="false">
      <c r="A38" s="6" t="s">
        <v>117</v>
      </c>
      <c r="B38" s="30" t="n">
        <v>2000</v>
      </c>
      <c r="C38" s="6" t="s">
        <v>118</v>
      </c>
      <c r="D38" s="21" t="s">
        <v>119</v>
      </c>
    </row>
    <row r="39" customFormat="false" ht="15" hidden="false" customHeight="true" outlineLevel="0" collapsed="false">
      <c r="A39" s="6" t="s">
        <v>120</v>
      </c>
      <c r="B39" s="30" t="n">
        <v>20000</v>
      </c>
      <c r="C39" s="6" t="s">
        <v>118</v>
      </c>
      <c r="D39" s="21"/>
    </row>
    <row r="40" customFormat="false" ht="15" hidden="false" customHeight="true" outlineLevel="0" collapsed="false">
      <c r="A40" s="4" t="s">
        <v>121</v>
      </c>
      <c r="B40" s="5"/>
      <c r="C40" s="5"/>
      <c r="D40" s="5"/>
    </row>
    <row r="41" customFormat="false" ht="15" hidden="false" customHeight="true" outlineLevel="0" collapsed="false">
      <c r="A41" s="6" t="s">
        <v>122</v>
      </c>
      <c r="B41" s="25" t="n">
        <v>8687.04</v>
      </c>
      <c r="C41" s="6" t="s">
        <v>123</v>
      </c>
      <c r="D41" s="21" t="s">
        <v>124</v>
      </c>
    </row>
    <row r="42" customFormat="false" ht="15" hidden="false" customHeight="true" outlineLevel="0" collapsed="false">
      <c r="A42" s="6" t="s">
        <v>125</v>
      </c>
      <c r="B42" s="25" t="n">
        <v>17374.08</v>
      </c>
      <c r="C42" s="6" t="s">
        <v>123</v>
      </c>
      <c r="D42" s="21" t="s">
        <v>126</v>
      </c>
    </row>
    <row r="43" customFormat="false" ht="15" hidden="false" customHeight="true" outlineLevel="0" collapsed="false">
      <c r="A43" s="6" t="s">
        <v>127</v>
      </c>
      <c r="B43" s="24" t="n">
        <v>0.205</v>
      </c>
      <c r="C43" s="6" t="s">
        <v>49</v>
      </c>
      <c r="D43" s="21" t="s">
        <v>128</v>
      </c>
    </row>
    <row r="44" customFormat="false" ht="15" hidden="false" customHeight="true" outlineLevel="0" collapsed="false">
      <c r="A44" s="6" t="s">
        <v>129</v>
      </c>
      <c r="B44" s="25" t="n">
        <v>925.59</v>
      </c>
      <c r="C44" s="6" t="s">
        <v>130</v>
      </c>
      <c r="D44" s="21" t="s">
        <v>131</v>
      </c>
    </row>
    <row r="46" customFormat="false" ht="15" hidden="false" customHeight="true" outlineLevel="0" collapsed="false">
      <c r="A46" s="31" t="s">
        <v>132</v>
      </c>
    </row>
    <row r="48" customFormat="false" ht="15" hidden="false" customHeight="false" outlineLevel="0" collapsed="false">
      <c r="A48" s="14" t="s">
        <v>133</v>
      </c>
      <c r="B48" s="14"/>
      <c r="C48" s="14"/>
      <c r="D48" s="14"/>
    </row>
    <row r="49" customFormat="false" ht="15" hidden="false" customHeight="true" outlineLevel="0" collapsed="false">
      <c r="A49" s="6" t="s">
        <v>134</v>
      </c>
      <c r="B49" s="28" t="n">
        <v>0.02</v>
      </c>
      <c r="C49" s="6" t="s">
        <v>105</v>
      </c>
      <c r="D49" s="6" t="s">
        <v>135</v>
      </c>
    </row>
    <row r="50" customFormat="false" ht="15" hidden="false" customHeight="true" outlineLevel="0" collapsed="false">
      <c r="A50" s="6" t="s">
        <v>136</v>
      </c>
      <c r="B50" s="29" t="n">
        <f aca="false">'AI worst case'!$K$26</f>
        <v>0.3</v>
      </c>
      <c r="C50" s="6" t="s">
        <v>105</v>
      </c>
      <c r="D50" s="6" t="s">
        <v>137</v>
      </c>
    </row>
    <row r="51" customFormat="false" ht="15" hidden="false" customHeight="true" outlineLevel="0" collapsed="false">
      <c r="A51" s="6" t="s">
        <v>138</v>
      </c>
      <c r="B51" s="22" t="n">
        <v>0.4</v>
      </c>
      <c r="C51" s="6" t="s">
        <v>139</v>
      </c>
      <c r="D51" s="6" t="s">
        <v>140</v>
      </c>
    </row>
    <row r="52" customFormat="false" ht="15" hidden="false" customHeight="true" outlineLevel="0" collapsed="false">
      <c r="A52" s="6" t="s">
        <v>141</v>
      </c>
      <c r="B52" s="22" t="n">
        <v>0.3</v>
      </c>
      <c r="C52" s="6" t="s">
        <v>49</v>
      </c>
      <c r="D52" s="6" t="s">
        <v>142</v>
      </c>
    </row>
    <row r="53" customFormat="false" ht="15" hidden="false" customHeight="true" outlineLevel="0" collapsed="false">
      <c r="A53" s="6" t="s">
        <v>143</v>
      </c>
      <c r="B53" s="22" t="n">
        <v>1</v>
      </c>
      <c r="C53" s="6" t="s">
        <v>144</v>
      </c>
      <c r="D53" s="6" t="s">
        <v>145</v>
      </c>
    </row>
    <row r="54" customFormat="false" ht="15" hidden="false" customHeight="true" outlineLevel="0" collapsed="false">
      <c r="A54" s="6" t="s">
        <v>146</v>
      </c>
      <c r="B54" s="22" t="n">
        <v>0.01</v>
      </c>
      <c r="C54" s="6" t="s">
        <v>147</v>
      </c>
      <c r="D54" s="6" t="s">
        <v>148</v>
      </c>
    </row>
    <row r="55" customFormat="false" ht="15" hidden="false" customHeight="true" outlineLevel="0" collapsed="false">
      <c r="A55" s="6" t="s">
        <v>149</v>
      </c>
      <c r="B55" s="22" t="n">
        <v>0.05</v>
      </c>
      <c r="C55" s="6" t="s">
        <v>150</v>
      </c>
      <c r="D55" s="6" t="s">
        <v>151</v>
      </c>
    </row>
    <row r="56" customFormat="false" ht="15" hidden="false" customHeight="true" outlineLevel="0" collapsed="false">
      <c r="A56" s="6" t="s">
        <v>152</v>
      </c>
      <c r="B56" s="32" t="n">
        <v>1.2</v>
      </c>
      <c r="C56" s="6" t="s">
        <v>153</v>
      </c>
      <c r="D56" s="6" t="s">
        <v>154</v>
      </c>
    </row>
    <row r="57" customFormat="false" ht="15" hidden="false" customHeight="true" outlineLevel="0" collapsed="false">
      <c r="A57" s="6" t="s">
        <v>155</v>
      </c>
      <c r="B57" s="7" t="n">
        <f aca="false">'Credit shop'!$C$21</f>
        <v>3.39</v>
      </c>
      <c r="C57" s="6" t="s">
        <v>156</v>
      </c>
      <c r="D57" s="6" t="s">
        <v>157</v>
      </c>
    </row>
    <row r="58" customFormat="false" ht="15" hidden="false" customHeight="true" outlineLevel="0" collapsed="false">
      <c r="A58" s="6" t="s">
        <v>158</v>
      </c>
      <c r="B58" s="24" t="n">
        <v>0.9</v>
      </c>
      <c r="C58" s="6" t="s">
        <v>159</v>
      </c>
      <c r="D58" s="6" t="s">
        <v>160</v>
      </c>
    </row>
    <row r="59" customFormat="false" ht="15" hidden="false" customHeight="true" outlineLevel="0" collapsed="false">
      <c r="A59" s="6" t="s">
        <v>161</v>
      </c>
      <c r="B59" s="30" t="n">
        <v>25</v>
      </c>
      <c r="C59" s="6" t="s">
        <v>162</v>
      </c>
      <c r="D59" s="6" t="s">
        <v>163</v>
      </c>
    </row>
    <row r="60" customFormat="false" ht="15" hidden="false" customHeight="true" outlineLevel="0" collapsed="false">
      <c r="A60" s="6" t="s">
        <v>164</v>
      </c>
      <c r="B60" s="33" t="n">
        <v>46387</v>
      </c>
      <c r="C60" s="6" t="s">
        <v>165</v>
      </c>
      <c r="D60" s="6"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1" width="22"/>
    <col collapsed="false" customWidth="true" hidden="false" outlineLevel="0" max="2" min="2" style="1" width="44"/>
    <col collapsed="false" customWidth="true" hidden="false" outlineLevel="0" max="3" min="3" style="1" width="11"/>
    <col collapsed="false" customWidth="true" hidden="false" outlineLevel="0" max="5" min="4" style="1" width="12"/>
    <col collapsed="false" customWidth="true" hidden="false" outlineLevel="0" max="9" min="6" style="1" width="11"/>
    <col collapsed="false" customWidth="true" hidden="false" outlineLevel="0" max="13" min="10" style="1" width="14"/>
    <col collapsed="false" customWidth="true" hidden="false" outlineLevel="0" max="14" min="14" style="1" width="22"/>
  </cols>
  <sheetData>
    <row r="1" customFormat="false" ht="17.25" hidden="false" customHeight="true" outlineLevel="0" collapsed="false">
      <c r="A1" s="2" t="s">
        <v>167</v>
      </c>
    </row>
    <row r="2" customFormat="false" ht="15" hidden="false" customHeight="true" outlineLevel="0" collapsed="false">
      <c r="A2" s="3" t="s">
        <v>168</v>
      </c>
    </row>
    <row r="4" customFormat="false" ht="26.25" hidden="false" customHeight="true" outlineLevel="0" collapsed="false">
      <c r="A4" s="19" t="s">
        <v>169</v>
      </c>
      <c r="B4" s="19" t="s">
        <v>170</v>
      </c>
      <c r="C4" s="19" t="s">
        <v>171</v>
      </c>
      <c r="D4" s="19" t="s">
        <v>172</v>
      </c>
      <c r="E4" s="19" t="s">
        <v>173</v>
      </c>
      <c r="F4" s="19" t="s">
        <v>174</v>
      </c>
      <c r="G4" s="19" t="s">
        <v>175</v>
      </c>
      <c r="H4" s="19" t="s">
        <v>176</v>
      </c>
    </row>
    <row r="5" customFormat="false" ht="15" hidden="false" customHeight="true" outlineLevel="0" collapsed="false">
      <c r="A5" s="6" t="s">
        <v>177</v>
      </c>
      <c r="B5" s="6" t="s">
        <v>178</v>
      </c>
      <c r="C5" s="25" t="n">
        <v>8.99</v>
      </c>
      <c r="D5" s="7" t="n">
        <f aca="false">Assumptions!$B$10</f>
        <v>4.99</v>
      </c>
      <c r="E5" s="34" t="n">
        <f aca="false">D5/1</f>
        <v>4.99</v>
      </c>
      <c r="G5" s="35" t="n">
        <f aca="false">D5/C5-1</f>
        <v>-0.444938820912125</v>
      </c>
      <c r="H5" s="6" t="str">
        <f aca="false">IF(MOD(ROUND(D5*100,0),100)=99,"yes","round to .99")</f>
        <v>yes</v>
      </c>
    </row>
    <row r="6" customFormat="false" ht="15" hidden="false" customHeight="true" outlineLevel="0" collapsed="false">
      <c r="A6" s="8" t="s">
        <v>177</v>
      </c>
      <c r="B6" s="6" t="s">
        <v>179</v>
      </c>
      <c r="C6" s="25" t="n">
        <v>59.99</v>
      </c>
      <c r="D6" s="36" t="n">
        <f aca="false">Assumptions!$B$11</f>
        <v>49.99</v>
      </c>
      <c r="E6" s="34" t="n">
        <f aca="false">D6/12</f>
        <v>4.16583333333333</v>
      </c>
      <c r="F6" s="35" t="n">
        <f aca="false">1-D6/(12*D5)</f>
        <v>0.165163660654643</v>
      </c>
      <c r="G6" s="35" t="n">
        <f aca="false">D6/C6-1</f>
        <v>-0.166694449074846</v>
      </c>
      <c r="H6" s="6" t="str">
        <f aca="false">IF(MOD(ROUND(D6*100,0),100)=99,"yes","round to .99")</f>
        <v>yes</v>
      </c>
    </row>
    <row r="7" customFormat="false" ht="15" hidden="false" customHeight="true" outlineLevel="0" collapsed="false">
      <c r="A7" s="6" t="s">
        <v>180</v>
      </c>
      <c r="B7" s="6" t="s">
        <v>178</v>
      </c>
      <c r="C7" s="25" t="n">
        <v>14.99</v>
      </c>
      <c r="D7" s="7" t="n">
        <f aca="false">Assumptions!$B$12</f>
        <v>7.99</v>
      </c>
      <c r="E7" s="34" t="n">
        <f aca="false">D7/1</f>
        <v>7.99</v>
      </c>
      <c r="G7" s="35" t="n">
        <f aca="false">D7/C7-1</f>
        <v>-0.466977985323549</v>
      </c>
      <c r="H7" s="6" t="str">
        <f aca="false">IF(MOD(ROUND(D7*100,0),100)=99,"yes","round to .99")</f>
        <v>yes</v>
      </c>
    </row>
    <row r="8" customFormat="false" ht="15" hidden="false" customHeight="true" outlineLevel="0" collapsed="false">
      <c r="A8" s="6" t="s">
        <v>180</v>
      </c>
      <c r="B8" s="6" t="s">
        <v>179</v>
      </c>
      <c r="C8" s="25" t="n">
        <v>99.99</v>
      </c>
      <c r="D8" s="7" t="n">
        <f aca="false">Assumptions!$B$13</f>
        <v>59.99</v>
      </c>
      <c r="E8" s="34" t="n">
        <f aca="false">D8/12</f>
        <v>4.99916666666667</v>
      </c>
      <c r="F8" s="35" t="n">
        <f aca="false">1-D8/(12*D7)</f>
        <v>0.374322069253233</v>
      </c>
      <c r="G8" s="35" t="n">
        <f aca="false">D8/C8-1</f>
        <v>-0.4000400040004</v>
      </c>
      <c r="H8" s="6" t="str">
        <f aca="false">IF(MOD(ROUND(D8*100,0),100)=99,"yes","round to .99")</f>
        <v>yes</v>
      </c>
    </row>
    <row r="10" customFormat="false" ht="15" hidden="false" customHeight="true" outlineLevel="0" collapsed="false">
      <c r="A10" s="4" t="s">
        <v>181</v>
      </c>
      <c r="B10" s="5"/>
      <c r="C10" s="5"/>
      <c r="D10" s="5"/>
      <c r="E10" s="5"/>
      <c r="F10" s="5"/>
      <c r="G10" s="5"/>
      <c r="H10" s="5"/>
    </row>
    <row r="11" customFormat="false" ht="15" hidden="false" customHeight="true" outlineLevel="0" collapsed="false">
      <c r="A11" s="6" t="s">
        <v>182</v>
      </c>
      <c r="D11" s="34" t="n">
        <f aca="false">D8-D6</f>
        <v>10</v>
      </c>
      <c r="E11" s="6" t="str">
        <f aca="false">IF(D11&lt;0.5*D6,"Max annual is close to Pro annual: most annual buyers will take Max","")</f>
        <v>Max annual is close to Pro annual: most annual buyers will take Max</v>
      </c>
    </row>
    <row r="12" customFormat="false" ht="15" hidden="false" customHeight="true" outlineLevel="0" collapsed="false">
      <c r="A12" s="6" t="s">
        <v>183</v>
      </c>
      <c r="D12" s="34" t="n">
        <f aca="false">(D8-D6)/12</f>
        <v>0.833333333333333</v>
      </c>
    </row>
    <row r="13" customFormat="false" ht="15" hidden="false" customHeight="true" outlineLevel="0" collapsed="false">
      <c r="A13" s="6" t="s">
        <v>184</v>
      </c>
      <c r="D13" s="34" t="n">
        <f aca="false">D7-D5</f>
        <v>3</v>
      </c>
    </row>
    <row r="14" customFormat="false" ht="15" hidden="false" customHeight="true" outlineLevel="0" collapsed="false">
      <c r="A14" s="31" t="s">
        <v>185</v>
      </c>
    </row>
    <row r="16" customFormat="false" ht="15" hidden="false" customHeight="true" outlineLevel="0" collapsed="false">
      <c r="A16" s="4" t="s">
        <v>186</v>
      </c>
      <c r="B16" s="5"/>
      <c r="C16" s="5"/>
      <c r="D16" s="5"/>
      <c r="E16" s="5"/>
      <c r="F16" s="5"/>
      <c r="G16" s="5"/>
      <c r="H16" s="5"/>
    </row>
    <row r="17" customFormat="false" ht="15" hidden="false" customHeight="true" outlineLevel="0" collapsed="false">
      <c r="A17" s="19" t="s">
        <v>187</v>
      </c>
      <c r="B17" s="19" t="s">
        <v>188</v>
      </c>
      <c r="C17" s="19" t="s">
        <v>189</v>
      </c>
      <c r="D17" s="19" t="s">
        <v>190</v>
      </c>
      <c r="E17" s="19" t="s">
        <v>191</v>
      </c>
      <c r="F17" s="19"/>
      <c r="G17" s="19"/>
      <c r="H17" s="19" t="s">
        <v>192</v>
      </c>
    </row>
    <row r="18" customFormat="false" ht="15" hidden="false" customHeight="true" outlineLevel="0" collapsed="false">
      <c r="A18" s="6" t="s">
        <v>193</v>
      </c>
      <c r="B18" s="6" t="s">
        <v>194</v>
      </c>
      <c r="C18" s="37" t="n">
        <v>9</v>
      </c>
      <c r="D18" s="37" t="n">
        <v>89</v>
      </c>
      <c r="E18" s="37" t="n">
        <v>299</v>
      </c>
      <c r="H18" s="6" t="s">
        <v>195</v>
      </c>
    </row>
    <row r="19" customFormat="false" ht="15" hidden="false" customHeight="true" outlineLevel="0" collapsed="false">
      <c r="A19" s="6" t="s">
        <v>196</v>
      </c>
      <c r="B19" s="6" t="s">
        <v>197</v>
      </c>
      <c r="C19" s="37" t="n">
        <v>5</v>
      </c>
      <c r="D19" s="37" t="s">
        <v>198</v>
      </c>
      <c r="E19" s="37" t="n">
        <v>150</v>
      </c>
      <c r="H19" s="6" t="s">
        <v>199</v>
      </c>
    </row>
    <row r="20" customFormat="false" ht="15" hidden="false" customHeight="true" outlineLevel="0" collapsed="false">
      <c r="A20" s="6" t="s">
        <v>200</v>
      </c>
      <c r="B20" s="6" t="s">
        <v>201</v>
      </c>
      <c r="C20" s="37" t="n">
        <v>6.99</v>
      </c>
      <c r="D20" s="37" t="n">
        <v>49.99</v>
      </c>
      <c r="E20" s="37" t="n">
        <v>109.99</v>
      </c>
      <c r="H20" s="6" t="s">
        <v>202</v>
      </c>
    </row>
    <row r="21" customFormat="false" ht="15" hidden="false" customHeight="true" outlineLevel="0" collapsed="false">
      <c r="A21" s="6" t="s">
        <v>203</v>
      </c>
      <c r="B21" s="6" t="s">
        <v>204</v>
      </c>
      <c r="C21" s="37" t="n">
        <v>14</v>
      </c>
      <c r="D21" s="37" t="s">
        <v>198</v>
      </c>
      <c r="E21" s="37" t="s">
        <v>198</v>
      </c>
      <c r="H21" s="6" t="s">
        <v>205</v>
      </c>
    </row>
    <row r="23" customFormat="false" ht="15" hidden="false" customHeight="true" outlineLevel="0" collapsed="false">
      <c r="A23" s="4" t="s">
        <v>206</v>
      </c>
      <c r="B23" s="5"/>
      <c r="C23" s="5"/>
      <c r="D23" s="5"/>
      <c r="E23" s="5"/>
      <c r="F23" s="5"/>
      <c r="G23" s="5"/>
      <c r="H23" s="5"/>
    </row>
    <row r="24" customFormat="false" ht="31.5" hidden="false" customHeight="true" outlineLevel="0" collapsed="false">
      <c r="A24" s="6" t="n">
        <v>1</v>
      </c>
      <c r="B24" s="38" t="s">
        <v>207</v>
      </c>
      <c r="C24" s="38"/>
      <c r="D24" s="38"/>
      <c r="E24" s="38"/>
      <c r="F24" s="38"/>
      <c r="G24" s="38"/>
      <c r="H24" s="38"/>
    </row>
    <row r="25" customFormat="false" ht="31.5" hidden="false" customHeight="true" outlineLevel="0" collapsed="false">
      <c r="A25" s="6" t="n">
        <v>2</v>
      </c>
      <c r="B25" s="38" t="s">
        <v>208</v>
      </c>
      <c r="C25" s="38"/>
      <c r="D25" s="38"/>
      <c r="E25" s="38"/>
      <c r="F25" s="38"/>
      <c r="G25" s="38"/>
      <c r="H25" s="38"/>
    </row>
    <row r="26" customFormat="false" ht="31.5" hidden="false" customHeight="true" outlineLevel="0" collapsed="false">
      <c r="A26" s="6" t="n">
        <v>3</v>
      </c>
      <c r="B26" s="38" t="s">
        <v>209</v>
      </c>
      <c r="C26" s="38"/>
      <c r="D26" s="38"/>
      <c r="E26" s="38"/>
      <c r="F26" s="38"/>
      <c r="G26" s="38"/>
      <c r="H26" s="38"/>
    </row>
    <row r="27" customFormat="false" ht="31.5" hidden="false" customHeight="true" outlineLevel="0" collapsed="false">
      <c r="A27" s="6" t="n">
        <v>4</v>
      </c>
      <c r="B27" s="38" t="s">
        <v>210</v>
      </c>
      <c r="C27" s="38"/>
      <c r="D27" s="38"/>
      <c r="E27" s="38"/>
      <c r="F27" s="38"/>
      <c r="G27" s="38"/>
      <c r="H27" s="38"/>
    </row>
    <row r="28" customFormat="false" ht="31.5" hidden="false" customHeight="true" outlineLevel="0" collapsed="false">
      <c r="A28" s="6" t="n">
        <v>5</v>
      </c>
      <c r="B28" s="38" t="s">
        <v>211</v>
      </c>
      <c r="C28" s="38"/>
      <c r="D28" s="38"/>
      <c r="E28" s="38"/>
      <c r="F28" s="38"/>
      <c r="G28" s="38"/>
      <c r="H28" s="38"/>
    </row>
    <row r="29" customFormat="false" ht="31.5" hidden="false" customHeight="true" outlineLevel="0" collapsed="false">
      <c r="A29" s="6" t="n">
        <v>6</v>
      </c>
      <c r="B29" s="38" t="s">
        <v>212</v>
      </c>
      <c r="C29" s="38"/>
      <c r="D29" s="38"/>
      <c r="E29" s="38"/>
      <c r="F29" s="38"/>
      <c r="G29" s="38"/>
      <c r="H29" s="38"/>
    </row>
    <row r="30" customFormat="false" ht="31.5" hidden="false" customHeight="true" outlineLevel="0" collapsed="false">
      <c r="A30" s="6" t="n">
        <v>7</v>
      </c>
      <c r="B30" s="38" t="s">
        <v>213</v>
      </c>
      <c r="C30" s="38"/>
      <c r="D30" s="38"/>
      <c r="E30" s="38"/>
      <c r="F30" s="38"/>
      <c r="G30" s="38"/>
      <c r="H30" s="38"/>
    </row>
    <row r="31" customFormat="false" ht="31.5" hidden="false" customHeight="true" outlineLevel="0" collapsed="false">
      <c r="A31" s="6" t="n">
        <v>8</v>
      </c>
      <c r="B31" s="38" t="s">
        <v>214</v>
      </c>
      <c r="C31" s="38"/>
      <c r="D31" s="38"/>
      <c r="E31" s="38"/>
      <c r="F31" s="38"/>
      <c r="G31" s="38"/>
      <c r="H31" s="38"/>
    </row>
    <row r="33" customFormat="false" ht="15" hidden="false" customHeight="true" outlineLevel="0" collapsed="false">
      <c r="A33" s="4" t="s">
        <v>215</v>
      </c>
      <c r="B33" s="5"/>
      <c r="C33" s="5"/>
      <c r="D33" s="5"/>
      <c r="E33" s="5"/>
      <c r="F33" s="5"/>
      <c r="G33" s="5"/>
      <c r="H33" s="5"/>
      <c r="I33" s="5"/>
      <c r="J33" s="5"/>
      <c r="K33" s="5"/>
      <c r="L33" s="5"/>
      <c r="M33" s="5"/>
      <c r="N33" s="5"/>
    </row>
    <row r="34" customFormat="false" ht="57.75" hidden="false" customHeight="true" outlineLevel="0" collapsed="false">
      <c r="A34" s="19" t="s">
        <v>216</v>
      </c>
      <c r="B34" s="19" t="s">
        <v>217</v>
      </c>
      <c r="C34" s="19" t="s">
        <v>218</v>
      </c>
      <c r="D34" s="19" t="s">
        <v>219</v>
      </c>
      <c r="E34" s="19" t="s">
        <v>220</v>
      </c>
      <c r="F34" s="19" t="s">
        <v>221</v>
      </c>
      <c r="G34" s="19" t="s">
        <v>222</v>
      </c>
      <c r="H34" s="19" t="s">
        <v>223</v>
      </c>
      <c r="I34" s="19" t="s">
        <v>224</v>
      </c>
      <c r="J34" s="19" t="s">
        <v>225</v>
      </c>
      <c r="K34" s="19" t="s">
        <v>226</v>
      </c>
      <c r="L34" s="19" t="s">
        <v>227</v>
      </c>
      <c r="M34" s="19" t="s">
        <v>228</v>
      </c>
      <c r="N34" s="19" t="s">
        <v>229</v>
      </c>
    </row>
    <row r="35" customFormat="false" ht="30" hidden="false" customHeight="true" outlineLevel="0" collapsed="false">
      <c r="A35" s="6" t="s">
        <v>230</v>
      </c>
      <c r="B35" s="21" t="s">
        <v>231</v>
      </c>
      <c r="C35" s="22" t="n">
        <v>0.7</v>
      </c>
      <c r="D35" s="22" t="n">
        <v>1</v>
      </c>
      <c r="E35" s="22" t="n">
        <v>1</v>
      </c>
      <c r="F35" s="34" t="n">
        <f aca="false">MAX(0.99,CEILING(Assumptions!$B$10*D35,1)-0.01)</f>
        <v>4.99</v>
      </c>
      <c r="G35" s="34" t="n">
        <f aca="false">MAX(0.99,CEILING(Assumptions!$B$11*D35,1)-0.01)</f>
        <v>49.99</v>
      </c>
      <c r="H35" s="34" t="n">
        <f aca="false">MAX(0.99,CEILING(Assumptions!$B$12*E35,1)-0.01)</f>
        <v>7.99</v>
      </c>
      <c r="I35" s="34" t="n">
        <f aca="false">MAX(0.99,CEILING(Assumptions!$B$13*E35,1)-0.01)</f>
        <v>59.99</v>
      </c>
      <c r="J35" s="34" t="n">
        <f aca="false">MIN(F35/1/(1+Assumptions!$B$7)*(1-Assumptions!$B$21),(F35/(1+Assumptions!$B$7)-(F35*(Assumptions!$B$22+Assumptions!$B$24)+Assumptions!$B$23))/1)-'AI worst case'!$F$33-Assumptions!$B$36</f>
        <v>0.987931900826446</v>
      </c>
      <c r="K35" s="34" t="n">
        <f aca="false">MIN(G35/12/(1+Assumptions!$B$7)*(1-Assumptions!$B$21),(G35/(1+Assumptions!$B$7)-(G35*(Assumptions!$B$22+Assumptions!$B$24)+Assumptions!$B$23))/12)-'AI worst case'!$F$33-Assumptions!$B$36</f>
        <v>0.408971845730028</v>
      </c>
      <c r="L35" s="34" t="n">
        <f aca="false">MIN(H35/1/(1+Assumptions!$B$7)*(1-Assumptions!$B$21),(H35/(1+Assumptions!$B$7)-(H35*(Assumptions!$B$22+Assumptions!$B$24)+Assumptions!$B$23))/1)-'AI worst case'!$G$33-Assumptions!$B$36</f>
        <v>2.47100991735537</v>
      </c>
      <c r="M35" s="34" t="n">
        <f aca="false">MIN(I35/12/(1+Assumptions!$B$7)*(1-Assumptions!$B$21),(I35/(1+Assumptions!$B$7)-(I35*(Assumptions!$B$22+Assumptions!$B$24)+Assumptions!$B$23))/12)-'AI worst case'!$G$33-Assumptions!$B$36</f>
        <v>0.37001129476584</v>
      </c>
      <c r="N35" s="8" t="str">
        <f aca="false">IF(MIN(J35:M35)&gt;='AI worst case'!$B$10,"yes","NO: raise the price or lower the allowance")</f>
        <v>yes</v>
      </c>
    </row>
    <row r="36" customFormat="false" ht="30" hidden="false" customHeight="true" outlineLevel="0" collapsed="false">
      <c r="A36" s="6" t="s">
        <v>232</v>
      </c>
      <c r="B36" s="21" t="s">
        <v>233</v>
      </c>
      <c r="C36" s="22" t="n">
        <v>0.15</v>
      </c>
      <c r="D36" s="22" t="n">
        <v>0.75</v>
      </c>
      <c r="E36" s="22" t="n">
        <v>0.75</v>
      </c>
      <c r="F36" s="34" t="n">
        <f aca="false">MAX(0.99,CEILING(Assumptions!$B$10*D36,1)-0.01)</f>
        <v>3.99</v>
      </c>
      <c r="G36" s="34" t="n">
        <f aca="false">MAX(0.99,CEILING(Assumptions!$B$11*D36,1)-0.01)</f>
        <v>37.99</v>
      </c>
      <c r="H36" s="34" t="n">
        <f aca="false">MAX(0.99,CEILING(Assumptions!$B$12*E36,1)-0.01)</f>
        <v>5.99</v>
      </c>
      <c r="I36" s="34" t="n">
        <f aca="false">MAX(0.99,CEILING(Assumptions!$B$13*E36,1)-0.01)</f>
        <v>44.99</v>
      </c>
      <c r="J36" s="34" t="n">
        <f aca="false">MIN(F36/1/(1+Assumptions!$B$7)*(1-Assumptions!$B$21),(F36/(1+Assumptions!$B$7)-(F36*(Assumptions!$B$22+Assumptions!$B$24)+Assumptions!$B$23))/1)-'AI worst case'!$F$34-Assumptions!$B$36</f>
        <v>0.939987360483471</v>
      </c>
      <c r="K36" s="34" t="n">
        <f aca="false">MIN(G36/12/(1+Assumptions!$B$7)*(1-Assumptions!$B$21),(G36/(1+Assumptions!$B$7)-(G36*(Assumptions!$B$22+Assumptions!$B$24)+Assumptions!$B$23))/12)-'AI worst case'!$F$34-Assumptions!$B$36</f>
        <v>0.361027305387052</v>
      </c>
      <c r="L36" s="34" t="n">
        <f aca="false">MIN(H36/1/(1+Assumptions!$B$7)*(1-Assumptions!$B$21),(H36/(1+Assumptions!$B$7)-(H36*(Assumptions!$B$22+Assumptions!$B$24)+Assumptions!$B$23))/1)-'AI worst case'!$G$34-Assumptions!$B$36</f>
        <v>1.84650123966942</v>
      </c>
      <c r="M36" s="34" t="n">
        <f aca="false">MIN(I36/12/(1+Assumptions!$B$7)*(1-Assumptions!$B$21),(I36/(1+Assumptions!$B$7)-(I36*(Assumptions!$B$22+Assumptions!$B$24)+Assumptions!$B$23))/12)-'AI worst case'!$G$34-Assumptions!$B$36</f>
        <v>0.272362121212121</v>
      </c>
      <c r="N36" s="8" t="str">
        <f aca="false">IF(MIN(J36:M36)&gt;='AI worst case'!$B$10,"yes","NO: raise the price or lower the allowance")</f>
        <v>yes</v>
      </c>
    </row>
    <row r="37" customFormat="false" ht="30" hidden="false" customHeight="true" outlineLevel="0" collapsed="false">
      <c r="A37" s="6" t="s">
        <v>234</v>
      </c>
      <c r="B37" s="21" t="s">
        <v>235</v>
      </c>
      <c r="C37" s="22" t="n">
        <v>0.1</v>
      </c>
      <c r="D37" s="22" t="n">
        <v>0.55</v>
      </c>
      <c r="E37" s="22" t="n">
        <v>0.55</v>
      </c>
      <c r="F37" s="34" t="n">
        <f aca="false">MAX(0.99,CEILING(Assumptions!$B$10*D37,1)-0.01)</f>
        <v>2.99</v>
      </c>
      <c r="G37" s="34" t="n">
        <f aca="false">MAX(0.99,CEILING(Assumptions!$B$11*D37,1)-0.01)</f>
        <v>27.99</v>
      </c>
      <c r="H37" s="34" t="n">
        <f aca="false">MAX(0.99,CEILING(Assumptions!$B$12*E37,1)-0.01)</f>
        <v>4.99</v>
      </c>
      <c r="I37" s="34" t="n">
        <f aca="false">MAX(0.99,CEILING(Assumptions!$B$13*E37,1)-0.01)</f>
        <v>32.99</v>
      </c>
      <c r="J37" s="34" t="n">
        <f aca="false">MIN(F37/1/(1+Assumptions!$B$7)*(1-Assumptions!$B$21),(F37/(1+Assumptions!$B$7)-(F37*(Assumptions!$B$22+Assumptions!$B$24)+Assumptions!$B$23))/1)-'AI worst case'!$F$35-Assumptions!$B$36</f>
        <v>0.733015726640496</v>
      </c>
      <c r="K37" s="34" t="n">
        <f aca="false">MIN(G37/12/(1+Assumptions!$B$7)*(1-Assumptions!$B$21),(G37/(1+Assumptions!$B$7)-(G37*(Assumptions!$B$22+Assumptions!$B$24)+Assumptions!$B$23))/12)-'AI worst case'!$F$35-Assumptions!$B$36</f>
        <v>0.27113556135124</v>
      </c>
      <c r="L37" s="34" t="n">
        <f aca="false">MIN(H37/1/(1+Assumptions!$B$7)*(1-Assumptions!$B$21),(H37/(1+Assumptions!$B$7)-(H37*(Assumptions!$B$22+Assumptions!$B$24)+Assumptions!$B$23))/1)-'AI worst case'!$G$35-Assumptions!$B$36</f>
        <v>1.76838190082645</v>
      </c>
      <c r="M37" s="34" t="n">
        <f aca="false">MIN(I37/12/(1+Assumptions!$B$7)*(1-Assumptions!$B$21),(I37/(1+Assumptions!$B$7)-(I37*(Assumptions!$B$22+Assumptions!$B$24)+Assumptions!$B$23))/12)-'AI worst case'!$G$35-Assumptions!$B$36</f>
        <v>0.194242782369146</v>
      </c>
      <c r="N37" s="8" t="str">
        <f aca="false">IF(MIN(J37:M37)&gt;='AI worst case'!$B$10,"yes","NO: raise the price or lower the allowance")</f>
        <v>yes</v>
      </c>
    </row>
    <row r="38" customFormat="false" ht="30" hidden="false" customHeight="true" outlineLevel="0" collapsed="false">
      <c r="A38" s="6" t="s">
        <v>236</v>
      </c>
      <c r="B38" s="21" t="s">
        <v>237</v>
      </c>
      <c r="C38" s="22" t="n">
        <v>0.05</v>
      </c>
      <c r="D38" s="22" t="n">
        <v>0.45</v>
      </c>
      <c r="E38" s="22" t="n">
        <v>0.45</v>
      </c>
      <c r="F38" s="34" t="n">
        <f aca="false">MAX(0.99,CEILING(Assumptions!$B$10*D38,1)-0.01)</f>
        <v>2.99</v>
      </c>
      <c r="G38" s="34" t="n">
        <f aca="false">MAX(0.99,CEILING(Assumptions!$B$11*D38,1)-0.01)</f>
        <v>22.99</v>
      </c>
      <c r="H38" s="34" t="n">
        <f aca="false">MAX(0.99,CEILING(Assumptions!$B$12*E38,1)-0.01)</f>
        <v>3.99</v>
      </c>
      <c r="I38" s="34" t="n">
        <f aca="false">MAX(0.99,CEILING(Assumptions!$B$13*E38,1)-0.01)</f>
        <v>26.99</v>
      </c>
      <c r="J38" s="34" t="n">
        <f aca="false">MIN(F38/1/(1+Assumptions!$B$7)*(1-Assumptions!$B$21),(F38/(1+Assumptions!$B$7)-(F38*(Assumptions!$B$22+Assumptions!$B$24)+Assumptions!$B$23))/1)-'AI worst case'!$F$36-Assumptions!$B$36</f>
        <v>1.1374423151405</v>
      </c>
      <c r="K38" s="34" t="n">
        <f aca="false">MIN(G38/12/(1+Assumptions!$B$7)*(1-Assumptions!$B$21),(G38/(1+Assumptions!$B$7)-(G38*(Assumptions!$B$22+Assumptions!$B$24)+Assumptions!$B$23))/12)-'AI worst case'!$F$36-Assumptions!$B$36</f>
        <v>0.382862425333333</v>
      </c>
      <c r="L38" s="34" t="n">
        <f aca="false">MIN(H38/1/(1+Assumptions!$B$7)*(1-Assumptions!$B$21),(H38/(1+Assumptions!$B$7)-(H38*(Assumptions!$B$22+Assumptions!$B$24)+Assumptions!$B$23))/1)-'AI worst case'!$G$36-Assumptions!$B$36</f>
        <v>1.37808256198347</v>
      </c>
      <c r="M38" s="34" t="n">
        <f aca="false">MIN(I38/12/(1+Assumptions!$B$7)*(1-Assumptions!$B$21),(I38/(1+Assumptions!$B$7)-(I38*(Assumptions!$B$22+Assumptions!$B$24)+Assumptions!$B$23))/12)-'AI worst case'!$G$36-Assumptions!$B$36</f>
        <v>0.155183112947658</v>
      </c>
      <c r="N38" s="8" t="str">
        <f aca="false">IF(MIN(J38:M38)&gt;='AI worst case'!$B$10,"yes","NO: raise the price or lower the allowance")</f>
        <v>yes</v>
      </c>
    </row>
    <row r="39" customFormat="false" ht="15" hidden="false" customHeight="true" outlineLevel="0" collapsed="false">
      <c r="A39" s="8" t="s">
        <v>238</v>
      </c>
      <c r="C39" s="39" t="n">
        <f aca="false">SUM(C35:C38)</f>
        <v>1</v>
      </c>
      <c r="D39" s="40" t="n">
        <f aca="false">IF(C39=0,1,SUMPRODUCT(C35:C38,D35:D38)/C39)</f>
        <v>0.89</v>
      </c>
      <c r="E39" s="40" t="n">
        <f aca="false">IF(C39=0,1,SUMPRODUCT(C35:C38,E35:E38)/C39)</f>
        <v>0.89</v>
      </c>
    </row>
    <row r="41" customFormat="false" ht="15" hidden="false" customHeight="true" outlineLevel="0" collapsed="false">
      <c r="A41" s="31" t="s">
        <v>239</v>
      </c>
    </row>
    <row r="42" customFormat="false" ht="15" hidden="false" customHeight="true" outlineLevel="0" collapsed="false">
      <c r="A42" s="31" t="s">
        <v>240</v>
      </c>
    </row>
    <row r="43" customFormat="false" ht="15" hidden="false" customHeight="true" outlineLevel="0" collapsed="false">
      <c r="A43" s="31" t="s">
        <v>241</v>
      </c>
    </row>
    <row r="44" customFormat="false" ht="15" hidden="false" customHeight="true" outlineLevel="0" collapsed="false">
      <c r="A44" s="31" t="s">
        <v>242</v>
      </c>
    </row>
    <row r="45" customFormat="false" ht="15" hidden="false" customHeight="true" outlineLevel="0" collapsed="false">
      <c r="A45" s="31" t="s">
        <v>243</v>
      </c>
    </row>
    <row r="46" customFormat="false" ht="15" hidden="false" customHeight="true" outlineLevel="0" collapsed="false">
      <c r="A46" s="31" t="s">
        <v>244</v>
      </c>
    </row>
    <row r="48" customFormat="false" ht="15" hidden="false" customHeight="false" outlineLevel="0" collapsed="false">
      <c r="A48" s="14" t="s">
        <v>245</v>
      </c>
      <c r="B48" s="14"/>
      <c r="C48" s="14"/>
      <c r="D48" s="14"/>
      <c r="E48" s="14"/>
      <c r="F48" s="14"/>
      <c r="G48" s="14"/>
      <c r="H48" s="14"/>
    </row>
    <row r="49" customFormat="false" ht="45" hidden="false" customHeight="true" outlineLevel="0" collapsed="false">
      <c r="A49" s="19" t="s">
        <v>169</v>
      </c>
      <c r="B49" s="19" t="s">
        <v>246</v>
      </c>
      <c r="C49" s="19" t="s">
        <v>247</v>
      </c>
      <c r="D49" s="19" t="s">
        <v>248</v>
      </c>
      <c r="E49" s="19" t="s">
        <v>249</v>
      </c>
      <c r="F49" s="19" t="s">
        <v>250</v>
      </c>
      <c r="G49" s="19" t="s">
        <v>251</v>
      </c>
    </row>
    <row r="50" customFormat="false" ht="15" hidden="false" customHeight="false" outlineLevel="0" collapsed="false">
      <c r="A50" s="6" t="s">
        <v>177</v>
      </c>
      <c r="B50" s="34" t="n">
        <f aca="false">$D$6</f>
        <v>49.99</v>
      </c>
      <c r="C50" s="34" t="n">
        <f aca="false">MAX(0.99,CEILING($D$6*(1-Assumptions!$B$52),1)-0.01)</f>
        <v>34.99</v>
      </c>
      <c r="D50" s="34" t="n">
        <f aca="false">C50/12/(1+Assumptions!$B$7)*(1-Assumptions!$B$21)-'AI worst case'!$F$33-Assumptions!$B$36</f>
        <v>-0.469127327823692</v>
      </c>
      <c r="E50" s="34" t="n">
        <f aca="false">(C50-(C50*(Assumptions!$B$22+Assumptions!$B$24)+Assumptions!$B$23))/12-'AI worst case'!$F$33-Assumptions!$B$36</f>
        <v>0.313411666666667</v>
      </c>
      <c r="F50" s="6" t="str">
        <f aca="false">IF(D50&gt;='AI worst case'!$B$10,"yes","NO")</f>
        <v>NO</v>
      </c>
      <c r="G50" s="6" t="str">
        <f aca="false">IF(E50&gt;='AI worst case'!$B$10,"yes","NO")</f>
        <v>yes</v>
      </c>
    </row>
    <row r="51" customFormat="false" ht="15" hidden="false" customHeight="false" outlineLevel="0" collapsed="false">
      <c r="A51" s="6" t="s">
        <v>180</v>
      </c>
      <c r="B51" s="34" t="n">
        <f aca="false">$D$8</f>
        <v>59.99</v>
      </c>
      <c r="C51" s="34" t="n">
        <f aca="false">MAX(0.99,CEILING($D$8*(1-Assumptions!$B$52),1)-0.01)</f>
        <v>41.99</v>
      </c>
      <c r="D51" s="34" t="n">
        <f aca="false">C51/12/(1+Assumptions!$B$7)*(1-Assumptions!$B$21)-'AI worst case'!$G$33-Assumptions!$B$36</f>
        <v>-0.683707713498623</v>
      </c>
      <c r="E51" s="34" t="n">
        <f aca="false">(C51-(C51*(Assumptions!$B$22+Assumptions!$B$24)+Assumptions!$B$23))/12-'AI worst case'!$G$33-Assumptions!$B$36</f>
        <v>0.259551666666667</v>
      </c>
      <c r="F51" s="6" t="str">
        <f aca="false">IF(D51&gt;='AI worst case'!$B$10,"yes","NO")</f>
        <v>NO</v>
      </c>
      <c r="G51" s="6" t="str">
        <f aca="false">IF(E51&gt;='AI worst case'!$B$10,"yes","NO")</f>
        <v>yes</v>
      </c>
    </row>
    <row r="52" customFormat="false" ht="31.5" hidden="false" customHeight="true" outlineLevel="0" collapsed="false">
      <c r="A52" s="38" t="s">
        <v>252</v>
      </c>
      <c r="B52" s="38"/>
      <c r="C52" s="38"/>
      <c r="D52" s="38"/>
      <c r="E52" s="38"/>
      <c r="F52" s="38"/>
      <c r="G52" s="38"/>
      <c r="H52" s="38"/>
    </row>
    <row r="53" customFormat="false" ht="31.5" hidden="false" customHeight="true" outlineLevel="0" collapsed="false">
      <c r="A53" s="38" t="s">
        <v>253</v>
      </c>
      <c r="B53" s="38"/>
      <c r="C53" s="38"/>
      <c r="D53" s="38"/>
      <c r="E53" s="38"/>
      <c r="F53" s="38"/>
      <c r="G53" s="38"/>
      <c r="H53" s="38"/>
    </row>
  </sheetData>
  <mergeCells count="10">
    <mergeCell ref="B24:H24"/>
    <mergeCell ref="B25:H25"/>
    <mergeCell ref="B26:H26"/>
    <mergeCell ref="B27:H27"/>
    <mergeCell ref="B28:H28"/>
    <mergeCell ref="B29:H29"/>
    <mergeCell ref="B30:H30"/>
    <mergeCell ref="B31:H31"/>
    <mergeCell ref="A52:H52"/>
    <mergeCell ref="A53:H53"/>
  </mergeCells>
  <conditionalFormatting sqref="J35:M38">
    <cfRule type="cellIs" priority="2" operator="lessThan" aboveAverage="0" equalAverage="0" bottom="0" percent="0" rank="0" text="" dxfId="0">
      <formula>'AI worst case'!$B$10</formula>
    </cfRule>
    <cfRule type="cellIs" priority="3" operator="greaterThanOrEqual" aboveAverage="0" equalAverage="0" bottom="0" percent="0" rank="0" text="" dxfId="1">
      <formula>'AI worst case'!$B$10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3" min="2" style="0" width="11"/>
    <col collapsed="false" customWidth="true" hidden="false" outlineLevel="0" max="4" min="4" style="0" width="12"/>
    <col collapsed="false" customWidth="true" hidden="false" outlineLevel="0" max="5" min="5" style="0" width="13"/>
    <col collapsed="false" customWidth="true" hidden="false" outlineLevel="0" max="6" min="6" style="0" width="12"/>
    <col collapsed="false" customWidth="true" hidden="false" outlineLevel="0" max="7" min="7" style="0" width="13"/>
    <col collapsed="false" customWidth="true" hidden="false" outlineLevel="0" max="8" min="8" style="0" width="15"/>
  </cols>
  <sheetData>
    <row r="1" customFormat="false" ht="17.35" hidden="false" customHeight="false" outlineLevel="0" collapsed="false">
      <c r="A1" s="2" t="s">
        <v>254</v>
      </c>
    </row>
    <row r="2" customFormat="false" ht="15" hidden="false" customHeight="false" outlineLevel="0" collapsed="false">
      <c r="A2" s="41" t="s">
        <v>255</v>
      </c>
    </row>
    <row r="4" customFormat="false" ht="15" hidden="false" customHeight="false" outlineLevel="0" collapsed="false">
      <c r="A4" s="14" t="s">
        <v>256</v>
      </c>
      <c r="B4" s="14"/>
      <c r="C4" s="14"/>
      <c r="D4" s="14"/>
      <c r="E4" s="14"/>
      <c r="F4" s="14"/>
      <c r="G4" s="14"/>
      <c r="H4" s="14"/>
    </row>
    <row r="5" customFormat="false" ht="15" hidden="false" customHeight="false" outlineLevel="0" collapsed="false">
      <c r="A5" s="6" t="s">
        <v>257</v>
      </c>
      <c r="B5" s="30" t="n">
        <v>60</v>
      </c>
    </row>
    <row r="6" customFormat="false" ht="15" hidden="false" customHeight="false" outlineLevel="0" collapsed="false">
      <c r="A6" s="6" t="s">
        <v>258</v>
      </c>
      <c r="B6" s="30" t="n">
        <v>90</v>
      </c>
    </row>
    <row r="7" customFormat="false" ht="15" hidden="false" customHeight="false" outlineLevel="0" collapsed="false">
      <c r="A7" s="6" t="s">
        <v>259</v>
      </c>
      <c r="B7" s="30" t="n">
        <v>120</v>
      </c>
    </row>
    <row r="8" customFormat="false" ht="15" hidden="false" customHeight="false" outlineLevel="0" collapsed="false">
      <c r="A8" s="6" t="s">
        <v>260</v>
      </c>
      <c r="B8" s="30" t="n">
        <v>200</v>
      </c>
    </row>
    <row r="9" customFormat="false" ht="15" hidden="false" customHeight="false" outlineLevel="0" collapsed="false">
      <c r="A9" s="6" t="s">
        <v>261</v>
      </c>
      <c r="B9" s="30" t="n">
        <v>1</v>
      </c>
    </row>
    <row r="10" customFormat="false" ht="15" hidden="false" customHeight="false" outlineLevel="0" collapsed="false">
      <c r="A10" s="6" t="s">
        <v>262</v>
      </c>
      <c r="B10" s="30" t="n">
        <v>0</v>
      </c>
    </row>
    <row r="11" customFormat="false" ht="15" hidden="false" customHeight="false" outlineLevel="0" collapsed="false">
      <c r="A11" s="6" t="s">
        <v>263</v>
      </c>
      <c r="B11" s="32" t="n">
        <v>3</v>
      </c>
    </row>
    <row r="12" customFormat="false" ht="15" hidden="false" customHeight="false" outlineLevel="0" collapsed="false">
      <c r="A12" s="6" t="s">
        <v>264</v>
      </c>
      <c r="B12" s="30" t="n">
        <v>60</v>
      </c>
    </row>
    <row r="14" customFormat="false" ht="15" hidden="false" customHeight="false" outlineLevel="0" collapsed="false">
      <c r="A14" s="14" t="s">
        <v>265</v>
      </c>
      <c r="B14" s="14"/>
      <c r="C14" s="14"/>
      <c r="D14" s="14"/>
      <c r="E14" s="14"/>
      <c r="F14" s="14"/>
      <c r="G14" s="14"/>
      <c r="H14" s="14"/>
    </row>
    <row r="15" customFormat="false" ht="45" hidden="false" customHeight="true" outlineLevel="0" collapsed="false">
      <c r="A15" s="19" t="s">
        <v>266</v>
      </c>
      <c r="B15" s="19" t="s">
        <v>267</v>
      </c>
      <c r="C15" s="19" t="s">
        <v>268</v>
      </c>
      <c r="D15" s="19" t="s">
        <v>269</v>
      </c>
      <c r="E15" s="19" t="s">
        <v>270</v>
      </c>
      <c r="F15" s="19" t="s">
        <v>271</v>
      </c>
      <c r="G15" s="19" t="s">
        <v>272</v>
      </c>
      <c r="H15" s="19" t="s">
        <v>273</v>
      </c>
    </row>
    <row r="16" customFormat="false" ht="15" hidden="false" customHeight="false" outlineLevel="0" collapsed="false">
      <c r="A16" s="6" t="s">
        <v>274</v>
      </c>
      <c r="B16" s="42" t="n">
        <v>100</v>
      </c>
      <c r="C16" s="23" t="n">
        <v>0.99</v>
      </c>
      <c r="D16" s="34" t="n">
        <f aca="false">IF(B16=0,0,C16/B16*100)</f>
        <v>0.99</v>
      </c>
      <c r="E16" s="35" t="n">
        <f aca="false">IF(C16=0,0,B16/(C16/$C$16*$B$16)-1)</f>
        <v>0</v>
      </c>
      <c r="F16" s="24" t="n">
        <v>0.35</v>
      </c>
      <c r="G16" s="34" t="n">
        <f aca="false">C16/(1+Assumptions!$B$7)*(1-Assumptions!$B$21)</f>
        <v>0.695454545454545</v>
      </c>
      <c r="H16" s="34" t="n">
        <f aca="false">C16-(C16*(Assumptions!$B$22+Assumptions!$B$24)+Assumptions!$B$23)</f>
        <v>0.71822</v>
      </c>
    </row>
    <row r="17" customFormat="false" ht="15" hidden="false" customHeight="false" outlineLevel="0" collapsed="false">
      <c r="A17" s="6" t="s">
        <v>275</v>
      </c>
      <c r="B17" s="42" t="n">
        <v>330</v>
      </c>
      <c r="C17" s="23" t="n">
        <v>2.99</v>
      </c>
      <c r="D17" s="34" t="n">
        <f aca="false">IF(B17=0,0,C17/B17*100)</f>
        <v>0.906060606060606</v>
      </c>
      <c r="E17" s="35" t="n">
        <f aca="false">IF(C17=0,0,B17/(C17/$C$16*$B$16)-1)</f>
        <v>0.0926421404682274</v>
      </c>
      <c r="F17" s="24" t="n">
        <v>0.35</v>
      </c>
      <c r="G17" s="34" t="n">
        <f aca="false">C17/(1+Assumptions!$B$7)*(1-Assumptions!$B$21)</f>
        <v>2.1004132231405</v>
      </c>
      <c r="H17" s="34" t="n">
        <f aca="false">C17-(C17*(Assumptions!$B$22+Assumptions!$B$24)+Assumptions!$B$23)</f>
        <v>2.67422</v>
      </c>
    </row>
    <row r="18" customFormat="false" ht="15" hidden="false" customHeight="false" outlineLevel="0" collapsed="false">
      <c r="A18" s="6" t="s">
        <v>276</v>
      </c>
      <c r="B18" s="42" t="n">
        <v>600</v>
      </c>
      <c r="C18" s="23" t="n">
        <v>4.99</v>
      </c>
      <c r="D18" s="34" t="n">
        <f aca="false">IF(B18=0,0,C18/B18*100)</f>
        <v>0.831666666666667</v>
      </c>
      <c r="E18" s="35" t="n">
        <f aca="false">IF(C18=0,0,B18/(C18/$C$16*$B$16)-1)</f>
        <v>0.190380761523046</v>
      </c>
      <c r="F18" s="24" t="n">
        <v>0.2</v>
      </c>
      <c r="G18" s="34" t="n">
        <f aca="false">C18/(1+Assumptions!$B$7)*(1-Assumptions!$B$21)</f>
        <v>3.50537190082645</v>
      </c>
      <c r="H18" s="34" t="n">
        <f aca="false">C18-(C18*(Assumptions!$B$22+Assumptions!$B$24)+Assumptions!$B$23)</f>
        <v>4.63022</v>
      </c>
    </row>
    <row r="19" customFormat="false" ht="15" hidden="false" customHeight="false" outlineLevel="0" collapsed="false">
      <c r="A19" s="6" t="s">
        <v>277</v>
      </c>
      <c r="B19" s="42" t="n">
        <v>1300</v>
      </c>
      <c r="C19" s="23" t="n">
        <v>9.99</v>
      </c>
      <c r="D19" s="34" t="n">
        <f aca="false">IF(B19=0,0,C19/B19*100)</f>
        <v>0.768461538461538</v>
      </c>
      <c r="E19" s="35" t="n">
        <f aca="false">IF(C19=0,0,B19/(C19/$C$16*$B$16)-1)</f>
        <v>0.288288288288288</v>
      </c>
      <c r="F19" s="24" t="n">
        <v>0.1</v>
      </c>
      <c r="G19" s="34" t="n">
        <f aca="false">C19/(1+Assumptions!$B$7)*(1-Assumptions!$B$21)</f>
        <v>7.01776859504132</v>
      </c>
      <c r="H19" s="34" t="n">
        <f aca="false">C19-(C19*(Assumptions!$B$22+Assumptions!$B$24)+Assumptions!$B$23)</f>
        <v>9.52022</v>
      </c>
    </row>
    <row r="20" customFormat="false" ht="15" hidden="false" customHeight="false" outlineLevel="0" collapsed="false">
      <c r="A20" s="6" t="s">
        <v>278</v>
      </c>
      <c r="F20" s="35" t="n">
        <f aca="false">SUM(F16:F19)</f>
        <v>1</v>
      </c>
    </row>
    <row r="21" customFormat="false" ht="15" hidden="false" customHeight="false" outlineLevel="0" collapsed="false">
      <c r="A21" s="8" t="s">
        <v>279</v>
      </c>
      <c r="C21" s="43" t="n">
        <f aca="false">SUMPRODUCT(C16:C19,F16:F19)</f>
        <v>3.39</v>
      </c>
      <c r="G21" s="43" t="n">
        <f aca="false">SUMPRODUCT(G16:G19,F16:F19)</f>
        <v>2.38140495867769</v>
      </c>
      <c r="H21" s="43" t="n">
        <f aca="false">SUMPRODUCT(H16:H19,F16:F19)</f>
        <v>3.06542</v>
      </c>
    </row>
    <row r="22" customFormat="false" ht="15" hidden="false" customHeight="false" outlineLevel="0" collapsed="false">
      <c r="A22" s="8" t="s">
        <v>280</v>
      </c>
      <c r="G22" s="44" t="n">
        <f aca="false">Assumptions!$B$58*G21+(1-Assumptions!$B$58)*H21</f>
        <v>2.44980646280992</v>
      </c>
    </row>
    <row r="24" customFormat="false" ht="15" hidden="false" customHeight="false" outlineLevel="0" collapsed="false">
      <c r="A24" s="14" t="s">
        <v>281</v>
      </c>
      <c r="B24" s="14"/>
      <c r="C24" s="14"/>
      <c r="D24" s="14"/>
      <c r="E24" s="14"/>
      <c r="F24" s="14"/>
      <c r="G24" s="14"/>
      <c r="H24" s="14"/>
    </row>
    <row r="25" customFormat="false" ht="15" hidden="false" customHeight="false" outlineLevel="0" collapsed="false">
      <c r="A25" s="6" t="s">
        <v>282</v>
      </c>
      <c r="B25" s="17" t="n">
        <f aca="false">(B7-B5)*30</f>
        <v>1800</v>
      </c>
    </row>
    <row r="26" customFormat="false" ht="15" hidden="false" customHeight="false" outlineLevel="0" collapsed="false">
      <c r="A26" s="6" t="s">
        <v>283</v>
      </c>
      <c r="B26" s="17" t="n">
        <f aca="false">B12*30*(B9-B10)</f>
        <v>1800</v>
      </c>
    </row>
    <row r="27" customFormat="false" ht="15" hidden="false" customHeight="false" outlineLevel="0" collapsed="false">
      <c r="A27" s="6" t="s">
        <v>284</v>
      </c>
      <c r="B27" s="17" t="n">
        <f aca="false">B25+B26</f>
        <v>3600</v>
      </c>
    </row>
    <row r="28" customFormat="false" ht="15" hidden="false" customHeight="false" outlineLevel="0" collapsed="false">
      <c r="A28" s="6" t="s">
        <v>285</v>
      </c>
      <c r="B28" s="34" t="n">
        <f aca="false">B27*MIN(D16:D19)/100</f>
        <v>27.6646153846154</v>
      </c>
    </row>
    <row r="29" customFormat="false" ht="15" hidden="false" customHeight="false" outlineLevel="0" collapsed="false">
      <c r="A29" s="6" t="s">
        <v>286</v>
      </c>
      <c r="B29" s="16" t="n">
        <f aca="false">IF(Assumptions!$B$10=0,0,B28/Assumptions!$B$10)</f>
        <v>5.54401109912132</v>
      </c>
    </row>
    <row r="30" customFormat="false" ht="15" hidden="false" customHeight="false" outlineLevel="0" collapsed="false">
      <c r="A30" s="6" t="s">
        <v>287</v>
      </c>
      <c r="B30" s="22" t="n">
        <v>0.5</v>
      </c>
    </row>
    <row r="31" customFormat="false" ht="15" hidden="false" customHeight="false" outlineLevel="0" collapsed="false">
      <c r="A31" s="6" t="s">
        <v>288</v>
      </c>
      <c r="B31" s="16" t="n">
        <f aca="false">IF(Assumptions!$B$10=0,0,B28/(1+B30)/Assumptions!$B$10)</f>
        <v>3.69600739941421</v>
      </c>
    </row>
    <row r="32" customFormat="false" ht="15" hidden="false" customHeight="false" outlineLevel="0" collapsed="false">
      <c r="A32" s="6" t="s">
        <v>289</v>
      </c>
      <c r="B32" s="45" t="n">
        <v>1.5</v>
      </c>
    </row>
    <row r="33" customFormat="false" ht="15" hidden="false" customHeight="false" outlineLevel="0" collapsed="false">
      <c r="A33" s="6" t="s">
        <v>290</v>
      </c>
      <c r="B33" s="8" t="str">
        <f aca="false">IF(MIN(B29,B31)&gt;=B32,"yes","NO: raise the pack prices or shrink the bonus")</f>
        <v>yes</v>
      </c>
    </row>
    <row r="35" customFormat="false" ht="31.5" hidden="false" customHeight="true" outlineLevel="0" collapsed="false">
      <c r="A35" s="38" t="s">
        <v>291</v>
      </c>
      <c r="B35" s="38"/>
      <c r="C35" s="38"/>
      <c r="D35" s="38"/>
      <c r="E35" s="38"/>
      <c r="F35" s="38"/>
      <c r="G35" s="38"/>
      <c r="H35" s="38"/>
    </row>
    <row r="36" customFormat="false" ht="31.5" hidden="false" customHeight="true" outlineLevel="0" collapsed="false">
      <c r="A36" s="38" t="s">
        <v>292</v>
      </c>
      <c r="B36" s="38"/>
      <c r="C36" s="38"/>
      <c r="D36" s="38"/>
      <c r="E36" s="38"/>
      <c r="F36" s="38"/>
      <c r="G36" s="38"/>
      <c r="H36" s="38"/>
    </row>
    <row r="37" customFormat="false" ht="31.5" hidden="false" customHeight="true" outlineLevel="0" collapsed="false">
      <c r="A37" s="38" t="s">
        <v>293</v>
      </c>
      <c r="B37" s="38"/>
      <c r="C37" s="38"/>
      <c r="D37" s="38"/>
      <c r="E37" s="38"/>
      <c r="F37" s="38"/>
      <c r="G37" s="38"/>
      <c r="H37" s="38"/>
    </row>
  </sheetData>
  <mergeCells count="3">
    <mergeCell ref="A35:H35"/>
    <mergeCell ref="A36:H36"/>
    <mergeCell ref="A37:H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0"/>
    <col collapsed="false" customWidth="true" hidden="false" outlineLevel="0" max="4" min="3" style="0" width="12"/>
    <col collapsed="false" customWidth="true" hidden="false" outlineLevel="0" max="5" min="5" style="0" width="11"/>
    <col collapsed="false" customWidth="true" hidden="false" outlineLevel="0" max="6" min="6" style="0" width="8"/>
    <col collapsed="false" customWidth="true" hidden="false" outlineLevel="0" max="9" min="7" style="0" width="9"/>
    <col collapsed="false" customWidth="true" hidden="false" outlineLevel="0" max="13" min="10" style="0" width="11"/>
    <col collapsed="false" customWidth="true" hidden="false" outlineLevel="0" max="14" min="14" style="0" width="60"/>
  </cols>
  <sheetData>
    <row r="1" customFormat="false" ht="17.35" hidden="false" customHeight="false" outlineLevel="0" collapsed="false">
      <c r="A1" s="2" t="s">
        <v>294</v>
      </c>
    </row>
    <row r="2" customFormat="false" ht="15" hidden="false" customHeight="false" outlineLevel="0" collapsed="false">
      <c r="A2" s="41" t="s">
        <v>295</v>
      </c>
    </row>
    <row r="4" customFormat="false" ht="15" hidden="false" customHeight="false" outlineLevel="0" collapsed="false">
      <c r="A4" s="14" t="s">
        <v>296</v>
      </c>
      <c r="B4" s="14"/>
      <c r="C4" s="14"/>
      <c r="D4" s="14"/>
    </row>
    <row r="5" customFormat="false" ht="15" hidden="false" customHeight="false" outlineLevel="0" collapsed="false">
      <c r="A5" s="6" t="s">
        <v>297</v>
      </c>
      <c r="B5" s="37" t="n">
        <v>0.25</v>
      </c>
      <c r="C5" s="6" t="s">
        <v>298</v>
      </c>
      <c r="D5" s="6" t="s">
        <v>299</v>
      </c>
    </row>
    <row r="6" customFormat="false" ht="15" hidden="false" customHeight="false" outlineLevel="0" collapsed="false">
      <c r="A6" s="6" t="s">
        <v>300</v>
      </c>
      <c r="B6" s="37" t="n">
        <v>1.5</v>
      </c>
      <c r="C6" s="6" t="s">
        <v>298</v>
      </c>
    </row>
    <row r="7" customFormat="false" ht="15" hidden="false" customHeight="false" outlineLevel="0" collapsed="false">
      <c r="A7" s="6" t="s">
        <v>301</v>
      </c>
      <c r="B7" s="24" t="n">
        <v>0.6</v>
      </c>
      <c r="C7" s="6" t="s">
        <v>49</v>
      </c>
    </row>
    <row r="8" customFormat="false" ht="15" hidden="false" customHeight="false" outlineLevel="0" collapsed="false">
      <c r="A8" s="6" t="s">
        <v>302</v>
      </c>
      <c r="B8" s="24" t="n">
        <v>0.1</v>
      </c>
      <c r="C8" s="6" t="s">
        <v>303</v>
      </c>
    </row>
    <row r="9" customFormat="false" ht="15" hidden="false" customHeight="false" outlineLevel="0" collapsed="false">
      <c r="A9" s="6" t="s">
        <v>304</v>
      </c>
      <c r="B9" s="30" t="n">
        <v>30</v>
      </c>
      <c r="C9" s="6" t="s">
        <v>305</v>
      </c>
    </row>
    <row r="10" customFormat="false" ht="15" hidden="false" customHeight="false" outlineLevel="0" collapsed="false">
      <c r="A10" s="6" t="s">
        <v>306</v>
      </c>
      <c r="B10" s="23" t="n">
        <v>0.1</v>
      </c>
      <c r="C10" s="6" t="s">
        <v>307</v>
      </c>
      <c r="D10" s="6" t="s">
        <v>308</v>
      </c>
    </row>
    <row r="12" customFormat="false" ht="45" hidden="false" customHeight="true" outlineLevel="0" collapsed="false">
      <c r="A12" s="19" t="s">
        <v>309</v>
      </c>
      <c r="B12" s="19" t="s">
        <v>310</v>
      </c>
      <c r="C12" s="19" t="s">
        <v>311</v>
      </c>
      <c r="D12" s="19" t="s">
        <v>312</v>
      </c>
      <c r="E12" s="19" t="s">
        <v>313</v>
      </c>
      <c r="F12" s="19" t="s">
        <v>314</v>
      </c>
      <c r="G12" s="19" t="s">
        <v>315</v>
      </c>
      <c r="H12" s="19" t="s">
        <v>316</v>
      </c>
      <c r="I12" s="19" t="s">
        <v>317</v>
      </c>
      <c r="J12" s="19" t="s">
        <v>318</v>
      </c>
      <c r="K12" s="19" t="s">
        <v>319</v>
      </c>
      <c r="L12" s="19" t="s">
        <v>320</v>
      </c>
      <c r="M12" s="19" t="s">
        <v>321</v>
      </c>
      <c r="N12" s="19" t="s">
        <v>322</v>
      </c>
    </row>
    <row r="13" customFormat="false" ht="30" hidden="false" customHeight="true" outlineLevel="0" collapsed="false">
      <c r="A13" s="46" t="s">
        <v>323</v>
      </c>
      <c r="B13" s="47" t="n">
        <v>35</v>
      </c>
      <c r="C13" s="48" t="n">
        <v>1300</v>
      </c>
      <c r="D13" s="48" t="n">
        <v>2000</v>
      </c>
      <c r="E13" s="49" t="n">
        <f aca="false">B13*(C13*$B$5*(1-$B$7+$B$7*$B$8)+D13*$B$6)/1000000</f>
        <v>0.1102325</v>
      </c>
      <c r="F13" s="50" t="s">
        <v>324</v>
      </c>
      <c r="G13" s="51" t="n">
        <v>0</v>
      </c>
      <c r="H13" s="51" t="n">
        <v>2</v>
      </c>
      <c r="I13" s="51" t="n">
        <v>4</v>
      </c>
      <c r="J13" s="52" t="n">
        <f aca="false">IF(F13="day",$B$9,1)</f>
        <v>1</v>
      </c>
      <c r="K13" s="53" t="n">
        <f aca="false">G13*$E13*$J13</f>
        <v>0</v>
      </c>
      <c r="L13" s="53" t="n">
        <f aca="false">H13*$E13*$J13</f>
        <v>0.220465</v>
      </c>
      <c r="M13" s="53" t="n">
        <f aca="false">I13*$E13*$J13</f>
        <v>0.44093</v>
      </c>
      <c r="N13" s="54" t="s">
        <v>325</v>
      </c>
    </row>
    <row r="14" customFormat="false" ht="30" hidden="false" customHeight="true" outlineLevel="0" collapsed="false">
      <c r="A14" s="46" t="s">
        <v>326</v>
      </c>
      <c r="B14" s="47" t="n">
        <v>1.3</v>
      </c>
      <c r="C14" s="48" t="n">
        <v>2700</v>
      </c>
      <c r="D14" s="48" t="n">
        <v>3000</v>
      </c>
      <c r="E14" s="49" t="n">
        <f aca="false">B14*(C14*$B$5*(1-$B$7+$B$7*$B$8)+D14*$B$6)/1000000</f>
        <v>0.00625365</v>
      </c>
      <c r="F14" s="50" t="s">
        <v>327</v>
      </c>
      <c r="G14" s="51" t="n">
        <v>0</v>
      </c>
      <c r="H14" s="51" t="n">
        <v>1</v>
      </c>
      <c r="I14" s="51" t="n">
        <v>2</v>
      </c>
      <c r="J14" s="52" t="n">
        <f aca="false">IF(F14="day",$B$9,1)</f>
        <v>30</v>
      </c>
      <c r="K14" s="53" t="n">
        <f aca="false">G14*$E14*$J14</f>
        <v>0</v>
      </c>
      <c r="L14" s="53" t="n">
        <f aca="false">H14*$E14*$J14</f>
        <v>0.1876095</v>
      </c>
      <c r="M14" s="53" t="n">
        <f aca="false">I14*$E14*$J14</f>
        <v>0.375219</v>
      </c>
      <c r="N14" s="54" t="s">
        <v>328</v>
      </c>
    </row>
    <row r="15" customFormat="false" ht="30" hidden="false" customHeight="true" outlineLevel="0" collapsed="false">
      <c r="A15" s="46" t="s">
        <v>329</v>
      </c>
      <c r="B15" s="47" t="n">
        <v>1</v>
      </c>
      <c r="C15" s="48" t="n">
        <v>900</v>
      </c>
      <c r="D15" s="48" t="n">
        <v>400</v>
      </c>
      <c r="E15" s="49" t="n">
        <f aca="false">B15*(C15*$B$5*(1-$B$7+$B$7*$B$8)+D15*$B$6)/1000000</f>
        <v>0.0007035</v>
      </c>
      <c r="F15" s="50" t="s">
        <v>327</v>
      </c>
      <c r="G15" s="51" t="n">
        <v>3</v>
      </c>
      <c r="H15" s="51" t="n">
        <v>15</v>
      </c>
      <c r="I15" s="51" t="n">
        <v>25</v>
      </c>
      <c r="J15" s="52" t="n">
        <f aca="false">IF(F15="day",$B$9,1)</f>
        <v>30</v>
      </c>
      <c r="K15" s="53" t="n">
        <f aca="false">G15*$E15*$J15</f>
        <v>0.063315</v>
      </c>
      <c r="L15" s="53" t="n">
        <f aca="false">H15*$E15*$J15</f>
        <v>0.316575</v>
      </c>
      <c r="M15" s="53" t="n">
        <f aca="false">I15*$E15*$J15</f>
        <v>0.527625</v>
      </c>
      <c r="N15" s="54" t="s">
        <v>330</v>
      </c>
    </row>
    <row r="16" customFormat="false" ht="30" hidden="false" customHeight="true" outlineLevel="0" collapsed="false">
      <c r="A16" s="46" t="s">
        <v>331</v>
      </c>
      <c r="B16" s="47" t="n">
        <v>1</v>
      </c>
      <c r="C16" s="48" t="n">
        <v>600</v>
      </c>
      <c r="D16" s="48" t="n">
        <v>400</v>
      </c>
      <c r="E16" s="49" t="n">
        <f aca="false">B16*(C16*$B$5*(1-$B$7+$B$7*$B$8)+D16*$B$6)/1000000</f>
        <v>0.000669</v>
      </c>
      <c r="F16" s="50" t="s">
        <v>327</v>
      </c>
      <c r="G16" s="51" t="n">
        <v>3</v>
      </c>
      <c r="H16" s="51" t="n">
        <v>15</v>
      </c>
      <c r="I16" s="51" t="n">
        <v>25</v>
      </c>
      <c r="J16" s="52" t="n">
        <f aca="false">IF(F16="day",$B$9,1)</f>
        <v>30</v>
      </c>
      <c r="K16" s="53" t="n">
        <f aca="false">G16*$E16*$J16</f>
        <v>0.06021</v>
      </c>
      <c r="L16" s="53" t="n">
        <f aca="false">H16*$E16*$J16</f>
        <v>0.30105</v>
      </c>
      <c r="M16" s="53" t="n">
        <f aca="false">I16*$E16*$J16</f>
        <v>0.50175</v>
      </c>
      <c r="N16" s="54" t="s">
        <v>332</v>
      </c>
    </row>
    <row r="17" customFormat="false" ht="30" hidden="false" customHeight="true" outlineLevel="0" collapsed="false">
      <c r="A17" s="46" t="s">
        <v>333</v>
      </c>
      <c r="B17" s="47" t="n">
        <v>1</v>
      </c>
      <c r="C17" s="48" t="n">
        <v>1700</v>
      </c>
      <c r="D17" s="48" t="n">
        <v>450</v>
      </c>
      <c r="E17" s="49" t="n">
        <f aca="false">B17*(C17*$B$5*(1-$B$7+$B$7*$B$8)+D17*$B$6)/1000000</f>
        <v>0.0008705</v>
      </c>
      <c r="F17" s="50" t="s">
        <v>327</v>
      </c>
      <c r="G17" s="51" t="n">
        <v>6</v>
      </c>
      <c r="H17" s="51" t="n">
        <v>18</v>
      </c>
      <c r="I17" s="51" t="n">
        <v>30</v>
      </c>
      <c r="J17" s="52" t="n">
        <f aca="false">IF(F17="day",$B$9,1)</f>
        <v>30</v>
      </c>
      <c r="K17" s="53" t="n">
        <f aca="false">G17*$E17*$J17</f>
        <v>0.15669</v>
      </c>
      <c r="L17" s="53" t="n">
        <f aca="false">H17*$E17*$J17</f>
        <v>0.47007</v>
      </c>
      <c r="M17" s="53" t="n">
        <f aca="false">I17*$E17*$J17</f>
        <v>0.78345</v>
      </c>
      <c r="N17" s="54" t="s">
        <v>334</v>
      </c>
    </row>
    <row r="18" customFormat="false" ht="30" hidden="false" customHeight="true" outlineLevel="0" collapsed="false">
      <c r="A18" s="46" t="s">
        <v>335</v>
      </c>
      <c r="B18" s="47" t="n">
        <v>1</v>
      </c>
      <c r="C18" s="48" t="n">
        <v>1100</v>
      </c>
      <c r="D18" s="48" t="n">
        <v>400</v>
      </c>
      <c r="E18" s="49" t="n">
        <f aca="false">B18*(C18*$B$5*(1-$B$7+$B$7*$B$8)+D18*$B$6)/1000000</f>
        <v>0.0007265</v>
      </c>
      <c r="F18" s="50" t="s">
        <v>327</v>
      </c>
      <c r="G18" s="51" t="n">
        <v>2</v>
      </c>
      <c r="H18" s="51" t="n">
        <v>8</v>
      </c>
      <c r="I18" s="51" t="n">
        <v>15</v>
      </c>
      <c r="J18" s="52" t="n">
        <f aca="false">IF(F18="day",$B$9,1)</f>
        <v>30</v>
      </c>
      <c r="K18" s="53" t="n">
        <f aca="false">G18*$E18*$J18</f>
        <v>0.04359</v>
      </c>
      <c r="L18" s="53" t="n">
        <f aca="false">H18*$E18*$J18</f>
        <v>0.17436</v>
      </c>
      <c r="M18" s="53" t="n">
        <f aca="false">I18*$E18*$J18</f>
        <v>0.326925</v>
      </c>
      <c r="N18" s="54" t="s">
        <v>336</v>
      </c>
    </row>
    <row r="19" customFormat="false" ht="30" hidden="false" customHeight="true" outlineLevel="0" collapsed="false">
      <c r="A19" s="46" t="s">
        <v>337</v>
      </c>
      <c r="B19" s="47" t="n">
        <v>1</v>
      </c>
      <c r="C19" s="48" t="n">
        <v>1400</v>
      </c>
      <c r="D19" s="48" t="n">
        <v>120</v>
      </c>
      <c r="E19" s="49" t="n">
        <f aca="false">B19*(C19*$B$5*(1-$B$7+$B$7*$B$8)+D19*$B$6)/1000000</f>
        <v>0.000341</v>
      </c>
      <c r="F19" s="50" t="s">
        <v>327</v>
      </c>
      <c r="G19" s="51" t="n">
        <v>5</v>
      </c>
      <c r="H19" s="51" t="n">
        <v>20</v>
      </c>
      <c r="I19" s="51" t="n">
        <v>40</v>
      </c>
      <c r="J19" s="52" t="n">
        <f aca="false">IF(F19="day",$B$9,1)</f>
        <v>30</v>
      </c>
      <c r="K19" s="53" t="n">
        <f aca="false">G19*$E19*$J19</f>
        <v>0.05115</v>
      </c>
      <c r="L19" s="53" t="n">
        <f aca="false">H19*$E19*$J19</f>
        <v>0.2046</v>
      </c>
      <c r="M19" s="53" t="n">
        <f aca="false">I19*$E19*$J19</f>
        <v>0.4092</v>
      </c>
      <c r="N19" s="54" t="s">
        <v>338</v>
      </c>
    </row>
    <row r="20" customFormat="false" ht="30" hidden="false" customHeight="true" outlineLevel="0" collapsed="false">
      <c r="A20" s="46" t="s">
        <v>339</v>
      </c>
      <c r="B20" s="47" t="n">
        <v>1</v>
      </c>
      <c r="C20" s="48" t="n">
        <v>400</v>
      </c>
      <c r="D20" s="48" t="n">
        <v>500</v>
      </c>
      <c r="E20" s="49" t="n">
        <f aca="false">B20*(C20*$B$5*(1-$B$7+$B$7*$B$8)+D20*$B$6)/1000000</f>
        <v>0.000796</v>
      </c>
      <c r="F20" s="50" t="s">
        <v>327</v>
      </c>
      <c r="G20" s="51" t="n">
        <v>5</v>
      </c>
      <c r="H20" s="51" t="n">
        <v>15</v>
      </c>
      <c r="I20" s="51" t="n">
        <v>30</v>
      </c>
      <c r="J20" s="52" t="n">
        <f aca="false">IF(F20="day",$B$9,1)</f>
        <v>30</v>
      </c>
      <c r="K20" s="53" t="n">
        <f aca="false">G20*$E20*$J20</f>
        <v>0.1194</v>
      </c>
      <c r="L20" s="53" t="n">
        <f aca="false">H20*$E20*$J20</f>
        <v>0.3582</v>
      </c>
      <c r="M20" s="53" t="n">
        <f aca="false">I20*$E20*$J20</f>
        <v>0.7164</v>
      </c>
      <c r="N20" s="54" t="s">
        <v>340</v>
      </c>
    </row>
    <row r="21" customFormat="false" ht="30" hidden="false" customHeight="true" outlineLevel="0" collapsed="false">
      <c r="A21" s="46" t="s">
        <v>341</v>
      </c>
      <c r="B21" s="47" t="n">
        <v>1</v>
      </c>
      <c r="C21" s="48" t="n">
        <v>1400</v>
      </c>
      <c r="D21" s="48" t="n">
        <v>400</v>
      </c>
      <c r="E21" s="49" t="n">
        <f aca="false">B21*(C21*$B$5*(1-$B$7+$B$7*$B$8)+D21*$B$6)/1000000</f>
        <v>0.000761</v>
      </c>
      <c r="F21" s="50" t="s">
        <v>327</v>
      </c>
      <c r="G21" s="51" t="n">
        <v>1</v>
      </c>
      <c r="H21" s="51" t="n">
        <v>5</v>
      </c>
      <c r="I21" s="51" t="n">
        <v>15</v>
      </c>
      <c r="J21" s="52" t="n">
        <f aca="false">IF(F21="day",$B$9,1)</f>
        <v>30</v>
      </c>
      <c r="K21" s="53" t="n">
        <f aca="false">G21*$E21*$J21</f>
        <v>0.02283</v>
      </c>
      <c r="L21" s="53" t="n">
        <f aca="false">H21*$E21*$J21</f>
        <v>0.11415</v>
      </c>
      <c r="M21" s="53" t="n">
        <f aca="false">I21*$E21*$J21</f>
        <v>0.34245</v>
      </c>
      <c r="N21" s="54" t="s">
        <v>342</v>
      </c>
    </row>
    <row r="22" customFormat="false" ht="30" hidden="false" customHeight="true" outlineLevel="0" collapsed="false">
      <c r="A22" s="46" t="s">
        <v>343</v>
      </c>
      <c r="B22" s="47" t="n">
        <v>1</v>
      </c>
      <c r="C22" s="48" t="n">
        <v>900</v>
      </c>
      <c r="D22" s="48" t="n">
        <v>700</v>
      </c>
      <c r="E22" s="49" t="n">
        <f aca="false">B22*(C22*$B$5*(1-$B$7+$B$7*$B$8)+D22*$B$6)/1000000</f>
        <v>0.0011535</v>
      </c>
      <c r="F22" s="50" t="s">
        <v>327</v>
      </c>
      <c r="G22" s="51" t="n">
        <v>2</v>
      </c>
      <c r="H22" s="51" t="n">
        <v>8</v>
      </c>
      <c r="I22" s="51" t="n">
        <v>20</v>
      </c>
      <c r="J22" s="52" t="n">
        <f aca="false">IF(F22="day",$B$9,1)</f>
        <v>30</v>
      </c>
      <c r="K22" s="53" t="n">
        <f aca="false">G22*$E22*$J22</f>
        <v>0.06921</v>
      </c>
      <c r="L22" s="53" t="n">
        <f aca="false">H22*$E22*$J22</f>
        <v>0.27684</v>
      </c>
      <c r="M22" s="53" t="n">
        <f aca="false">I22*$E22*$J22</f>
        <v>0.6921</v>
      </c>
      <c r="N22" s="54" t="s">
        <v>344</v>
      </c>
    </row>
    <row r="23" customFormat="false" ht="30" hidden="false" customHeight="true" outlineLevel="0" collapsed="false">
      <c r="A23" s="46" t="s">
        <v>345</v>
      </c>
      <c r="B23" s="47" t="n">
        <v>1</v>
      </c>
      <c r="C23" s="48" t="n">
        <v>1400</v>
      </c>
      <c r="D23" s="48" t="n">
        <v>900</v>
      </c>
      <c r="E23" s="49" t="n">
        <f aca="false">B23*(C23*$B$5*(1-$B$7+$B$7*$B$8)+D23*$B$6)/1000000</f>
        <v>0.001511</v>
      </c>
      <c r="F23" s="50" t="s">
        <v>327</v>
      </c>
      <c r="G23" s="51" t="n">
        <v>0</v>
      </c>
      <c r="H23" s="51" t="n">
        <v>2</v>
      </c>
      <c r="I23" s="51" t="n">
        <v>5</v>
      </c>
      <c r="J23" s="52" t="n">
        <f aca="false">IF(F23="day",$B$9,1)</f>
        <v>30</v>
      </c>
      <c r="K23" s="53" t="n">
        <f aca="false">G23*$E23*$J23</f>
        <v>0</v>
      </c>
      <c r="L23" s="53" t="n">
        <f aca="false">H23*$E23*$J23</f>
        <v>0.09066</v>
      </c>
      <c r="M23" s="53" t="n">
        <f aca="false">I23*$E23*$J23</f>
        <v>0.22665</v>
      </c>
      <c r="N23" s="54" t="s">
        <v>346</v>
      </c>
    </row>
    <row r="24" customFormat="false" ht="15" hidden="false" customHeight="false" outlineLevel="0" collapsed="false">
      <c r="A24" s="8" t="s">
        <v>347</v>
      </c>
      <c r="K24" s="55" t="n">
        <f aca="false">SUM(K13:K23)</f>
        <v>0.586395</v>
      </c>
      <c r="L24" s="55" t="n">
        <f aca="false">SUM(L13:L23)</f>
        <v>2.7145795</v>
      </c>
      <c r="M24" s="55" t="n">
        <f aca="false">SUM(M13:M23)</f>
        <v>5.342699</v>
      </c>
    </row>
    <row r="25" customFormat="false" ht="30" hidden="false" customHeight="true" outlineLevel="0" collapsed="false">
      <c r="A25" s="8" t="s">
        <v>348</v>
      </c>
      <c r="G25" s="56" t="n">
        <v>0.01</v>
      </c>
      <c r="H25" s="56" t="n">
        <v>0.08</v>
      </c>
      <c r="I25" s="56" t="n">
        <v>0.1</v>
      </c>
      <c r="K25" s="57" t="n">
        <f aca="false">G25*$B$9</f>
        <v>0.3</v>
      </c>
      <c r="L25" s="57" t="n">
        <f aca="false">H25*$B$9</f>
        <v>2.4</v>
      </c>
      <c r="M25" s="57" t="n">
        <f aca="false">I25*$B$9</f>
        <v>3</v>
      </c>
      <c r="N25" s="21" t="s">
        <v>349</v>
      </c>
    </row>
    <row r="26" customFormat="false" ht="15" hidden="false" customHeight="false" outlineLevel="0" collapsed="false">
      <c r="A26" s="8" t="s">
        <v>350</v>
      </c>
      <c r="K26" s="58" t="n">
        <f aca="false">MIN(K24,K25)</f>
        <v>0.3</v>
      </c>
      <c r="L26" s="58" t="n">
        <f aca="false">MIN(L24,L25)</f>
        <v>2.4</v>
      </c>
      <c r="M26" s="58" t="n">
        <f aca="false">MIN(M24,M25)</f>
        <v>3</v>
      </c>
    </row>
    <row r="27" customFormat="false" ht="15" hidden="false" customHeight="false" outlineLevel="0" collapsed="false">
      <c r="A27" s="6" t="s">
        <v>351</v>
      </c>
      <c r="K27" s="34" t="n">
        <f aca="false">K26*Assumptions!$B$6*(1+Assumptions!$B$8)</f>
        <v>0.31218</v>
      </c>
      <c r="L27" s="34" t="n">
        <f aca="false">L26*Assumptions!$B$6*(1+Assumptions!$B$8)</f>
        <v>2.49744</v>
      </c>
      <c r="M27" s="34" t="n">
        <f aca="false">M26*Assumptions!$B$6*(1+Assumptions!$B$8)</f>
        <v>3.1218</v>
      </c>
    </row>
    <row r="28" customFormat="false" ht="15" hidden="false" customHeight="false" outlineLevel="0" collapsed="false">
      <c r="A28" s="6" t="s">
        <v>352</v>
      </c>
      <c r="G28" s="17" t="n">
        <f aca="false">IF($E$15=0,0,G25/$E$15)</f>
        <v>14.2146410803127</v>
      </c>
      <c r="H28" s="17" t="n">
        <f aca="false">IF($E$15=0,0,H25/$E$15)</f>
        <v>113.717128642502</v>
      </c>
      <c r="I28" s="17" t="n">
        <f aca="false">IF($E$15=0,0,I25/$E$15)</f>
        <v>142.146410803127</v>
      </c>
    </row>
    <row r="29" customFormat="false" ht="15" hidden="false" customHeight="false" outlineLevel="0" collapsed="false">
      <c r="A29" s="6" t="s">
        <v>353</v>
      </c>
      <c r="G29" s="17" t="n">
        <f aca="false">IF($E$19=0,0,G25/$E$19)</f>
        <v>29.3255131964809</v>
      </c>
      <c r="H29" s="17" t="n">
        <f aca="false">IF($E$19=0,0,H25/$E$19)</f>
        <v>234.604105571848</v>
      </c>
      <c r="I29" s="17" t="n">
        <f aca="false">IF($E$19=0,0,I25/$E$19)</f>
        <v>293.255131964809</v>
      </c>
    </row>
    <row r="31" customFormat="false" ht="15" hidden="false" customHeight="false" outlineLevel="0" collapsed="false">
      <c r="A31" s="14" t="s">
        <v>354</v>
      </c>
      <c r="B31" s="14"/>
      <c r="C31" s="14"/>
      <c r="D31" s="14"/>
      <c r="E31" s="14"/>
      <c r="F31" s="14"/>
      <c r="G31" s="14"/>
    </row>
    <row r="32" customFormat="false" ht="30" hidden="false" customHeight="true" outlineLevel="0" collapsed="false">
      <c r="A32" s="19" t="s">
        <v>216</v>
      </c>
      <c r="B32" s="19" t="s">
        <v>355</v>
      </c>
      <c r="C32" s="19" t="s">
        <v>356</v>
      </c>
      <c r="D32" s="19" t="s">
        <v>357</v>
      </c>
      <c r="E32" s="19" t="s">
        <v>358</v>
      </c>
      <c r="F32" s="19" t="s">
        <v>359</v>
      </c>
      <c r="G32" s="19" t="s">
        <v>360</v>
      </c>
    </row>
    <row r="33" customFormat="false" ht="15" hidden="false" customHeight="false" outlineLevel="0" collapsed="false">
      <c r="A33" s="59" t="str">
        <f aca="false">Pricing!A35</f>
        <v>1 – Full price</v>
      </c>
      <c r="B33" s="60" t="n">
        <f aca="false">Pricing!D35</f>
        <v>1</v>
      </c>
      <c r="C33" s="60" t="n">
        <f aca="false">Pricing!E35</f>
        <v>1</v>
      </c>
      <c r="D33" s="57" t="n">
        <f aca="false">MIN(SUMPRODUCT(ROUNDDOWN($H$13:$H$23*B33,0),$E$13:$E$23,$J$13:$J$23),$H$25*B33*$B$9)</f>
        <v>2.4</v>
      </c>
      <c r="E33" s="57" t="n">
        <f aca="false">MIN(SUMPRODUCT(ROUNDDOWN($I$13:$I$23*C33,0),$E$13:$E$23,$J$13:$J$23),$I$25*C33*$B$9)</f>
        <v>3</v>
      </c>
      <c r="F33" s="34" t="n">
        <f aca="false">D33*Assumptions!$B$6*(1+Assumptions!$B$8)</f>
        <v>2.49744</v>
      </c>
      <c r="G33" s="34" t="n">
        <f aca="false">E33*Assumptions!$B$6*(1+Assumptions!$B$8)</f>
        <v>3.1218</v>
      </c>
    </row>
    <row r="34" customFormat="false" ht="15" hidden="false" customHeight="false" outlineLevel="0" collapsed="false">
      <c r="A34" s="59" t="str">
        <f aca="false">Pricing!A36</f>
        <v>2 – Reduced</v>
      </c>
      <c r="B34" s="60" t="n">
        <f aca="false">Pricing!D36</f>
        <v>0.75</v>
      </c>
      <c r="C34" s="60" t="n">
        <f aca="false">Pricing!E36</f>
        <v>0.75</v>
      </c>
      <c r="D34" s="57" t="n">
        <f aca="false">MIN(SUMPRODUCT(ROUNDDOWN($H$13:$H$23*B34,0),$E$13:$E$23,$J$13:$J$23),$H$25*B34*$B$9)</f>
        <v>1.7710025</v>
      </c>
      <c r="E34" s="57" t="n">
        <f aca="false">MIN(SUMPRODUCT(ROUNDDOWN($I$13:$I$23*C34,0),$E$13:$E$23,$J$13:$J$23),$I$25*C34*$B$9)</f>
        <v>2.25</v>
      </c>
      <c r="F34" s="34" t="n">
        <f aca="false">D34*Assumptions!$B$6*(1+Assumptions!$B$8)</f>
        <v>1.8429052015</v>
      </c>
      <c r="G34" s="34" t="n">
        <f aca="false">E34*Assumptions!$B$6*(1+Assumptions!$B$8)</f>
        <v>2.34135</v>
      </c>
    </row>
    <row r="35" customFormat="false" ht="15" hidden="false" customHeight="false" outlineLevel="0" collapsed="false">
      <c r="A35" s="59" t="str">
        <f aca="false">Pricing!A37</f>
        <v>3 – Low</v>
      </c>
      <c r="B35" s="60" t="n">
        <f aca="false">Pricing!D37</f>
        <v>0.55</v>
      </c>
      <c r="C35" s="60" t="n">
        <f aca="false">Pricing!E37</f>
        <v>0.55</v>
      </c>
      <c r="D35" s="57" t="n">
        <f aca="false">MIN(SUMPRODUCT(ROUNDDOWN($H$13:$H$23*B35,0),$E$13:$E$23,$J$13:$J$23),$H$25*B35*$B$9)</f>
        <v>1.2948275</v>
      </c>
      <c r="E35" s="57" t="n">
        <f aca="false">MIN(SUMPRODUCT(ROUNDDOWN($I$13:$I$23*C35,0),$E$13:$E$23,$J$13:$J$23),$I$25*C35*$B$9)</f>
        <v>1.65</v>
      </c>
      <c r="F35" s="34" t="n">
        <f aca="false">D35*Assumptions!$B$6*(1+Assumptions!$B$8)</f>
        <v>1.3473974965</v>
      </c>
      <c r="G35" s="34" t="n">
        <f aca="false">E35*Assumptions!$B$6*(1+Assumptions!$B$8)</f>
        <v>1.71699</v>
      </c>
    </row>
    <row r="36" customFormat="false" ht="15" hidden="false" customHeight="false" outlineLevel="0" collapsed="false">
      <c r="A36" s="59" t="str">
        <f aca="false">Pricing!A38</f>
        <v>4 – Lowest</v>
      </c>
      <c r="B36" s="60" t="n">
        <f aca="false">Pricing!D38</f>
        <v>0.45</v>
      </c>
      <c r="C36" s="60" t="n">
        <f aca="false">Pricing!E38</f>
        <v>0.45</v>
      </c>
      <c r="D36" s="57" t="n">
        <f aca="false">MIN(SUMPRODUCT(ROUNDDOWN($H$13:$H$23*B36,0),$E$13:$E$23,$J$13:$J$23),$H$25*B36*$B$9)</f>
        <v>0.90618</v>
      </c>
      <c r="E36" s="57" t="n">
        <f aca="false">MIN(SUMPRODUCT(ROUNDDOWN($I$13:$I$23*C36,0),$E$13:$E$23,$J$13:$J$23),$I$25*C36*$B$9)</f>
        <v>1.35</v>
      </c>
      <c r="F36" s="34" t="n">
        <f aca="false">D36*Assumptions!$B$6*(1+Assumptions!$B$8)</f>
        <v>0.942970908</v>
      </c>
      <c r="G36" s="34" t="n">
        <f aca="false">E36*Assumptions!$B$6*(1+Assumptions!$B$8)</f>
        <v>1.40481</v>
      </c>
    </row>
    <row r="38" customFormat="false" ht="15" hidden="false" customHeight="true" outlineLevel="0" collapsed="false">
      <c r="A38" s="38" t="s">
        <v>361</v>
      </c>
      <c r="B38" s="38"/>
      <c r="C38" s="38"/>
      <c r="D38" s="38"/>
      <c r="E38" s="38"/>
      <c r="F38" s="38"/>
      <c r="G38" s="38"/>
      <c r="H38" s="38"/>
      <c r="I38" s="38"/>
      <c r="J38" s="38"/>
      <c r="K38" s="38"/>
      <c r="L38" s="38"/>
      <c r="M38" s="38"/>
      <c r="N38" s="38"/>
    </row>
    <row r="39" customFormat="false" ht="15" hidden="false" customHeight="true" outlineLevel="0" collapsed="false">
      <c r="A39" s="38" t="s">
        <v>362</v>
      </c>
      <c r="B39" s="38"/>
      <c r="C39" s="38"/>
      <c r="D39" s="38"/>
      <c r="E39" s="38"/>
      <c r="F39" s="38"/>
      <c r="G39" s="38"/>
      <c r="H39" s="38"/>
      <c r="I39" s="38"/>
      <c r="J39" s="38"/>
      <c r="K39" s="38"/>
      <c r="L39" s="38"/>
      <c r="M39" s="38"/>
      <c r="N39" s="38"/>
    </row>
  </sheetData>
  <mergeCells count="2">
    <mergeCell ref="A38:N38"/>
    <mergeCell ref="A39:N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62"/>
    <col collapsed="false" customWidth="true" hidden="false" outlineLevel="0" max="2" min="2" style="1" width="16"/>
    <col collapsed="false" customWidth="true" hidden="false" outlineLevel="0" max="3" min="3" style="1" width="11"/>
    <col collapsed="false" customWidth="true" hidden="false" outlineLevel="0" max="4" min="4" style="1" width="9"/>
    <col collapsed="false" customWidth="true" hidden="false" outlineLevel="0" max="7" min="5" style="1" width="10"/>
    <col collapsed="false" customWidth="true" hidden="false" outlineLevel="0" max="8" min="8" style="1" width="12"/>
    <col collapsed="false" customWidth="true" hidden="false" outlineLevel="0" max="9" min="9" style="1" width="13"/>
    <col collapsed="false" customWidth="true" hidden="false" outlineLevel="0" max="10" min="10" style="1" width="12"/>
    <col collapsed="false" customWidth="true" hidden="false" outlineLevel="0" max="11" min="11" style="1" width="90"/>
  </cols>
  <sheetData>
    <row r="1" customFormat="false" ht="17.25" hidden="false" customHeight="true" outlineLevel="0" collapsed="false">
      <c r="A1" s="2" t="s">
        <v>363</v>
      </c>
    </row>
    <row r="2" customFormat="false" ht="15" hidden="false" customHeight="true" outlineLevel="0" collapsed="false">
      <c r="A2" s="3" t="s">
        <v>364</v>
      </c>
    </row>
    <row r="4" customFormat="false" ht="15" hidden="false" customHeight="true" outlineLevel="0" collapsed="false">
      <c r="A4" s="19" t="s">
        <v>365</v>
      </c>
      <c r="B4" s="19" t="s">
        <v>366</v>
      </c>
      <c r="C4" s="19" t="s">
        <v>367</v>
      </c>
      <c r="D4" s="19" t="s">
        <v>368</v>
      </c>
      <c r="E4" s="19" t="s">
        <v>369</v>
      </c>
      <c r="F4" s="19" t="s">
        <v>370</v>
      </c>
      <c r="G4" s="19" t="s">
        <v>371</v>
      </c>
      <c r="H4" s="19" t="s">
        <v>372</v>
      </c>
      <c r="I4" s="19" t="s">
        <v>373</v>
      </c>
      <c r="J4" s="19" t="s">
        <v>374</v>
      </c>
      <c r="K4" s="19" t="s">
        <v>375</v>
      </c>
    </row>
    <row r="5" customFormat="false" ht="26.25" hidden="false" customHeight="true" outlineLevel="0" collapsed="false">
      <c r="A5" s="6" t="s">
        <v>376</v>
      </c>
      <c r="B5" s="6" t="s">
        <v>377</v>
      </c>
      <c r="C5" s="61" t="s">
        <v>93</v>
      </c>
      <c r="D5" s="62" t="s">
        <v>378</v>
      </c>
      <c r="E5" s="63" t="n">
        <v>111.5</v>
      </c>
      <c r="F5" s="63" t="n">
        <v>111.5</v>
      </c>
      <c r="G5" s="63" t="n">
        <v>111.5</v>
      </c>
      <c r="H5" s="34" t="n">
        <f aca="false">E5*IF($D5="USD",Assumptions!$B$6*(1+Assumptions!$B$8),1)</f>
        <v>111.5</v>
      </c>
      <c r="I5" s="34" t="n">
        <f aca="false">F5*IF($D5="USD",Assumptions!$B$6*(1+Assumptions!$B$8),1)</f>
        <v>111.5</v>
      </c>
      <c r="J5" s="34" t="n">
        <f aca="false">G5*IF($D5="USD",Assumptions!$B$6*(1+Assumptions!$B$8),1)</f>
        <v>111.5</v>
      </c>
      <c r="K5" s="21" t="s">
        <v>379</v>
      </c>
    </row>
    <row r="6" customFormat="false" ht="26.25" hidden="false" customHeight="true" outlineLevel="0" collapsed="false">
      <c r="A6" s="6" t="s">
        <v>380</v>
      </c>
      <c r="B6" s="6" t="s">
        <v>377</v>
      </c>
      <c r="C6" s="61" t="s">
        <v>93</v>
      </c>
      <c r="D6" s="62" t="s">
        <v>378</v>
      </c>
      <c r="E6" s="63" t="n">
        <v>0</v>
      </c>
      <c r="F6" s="63" t="n">
        <v>0</v>
      </c>
      <c r="G6" s="63" t="n">
        <v>0</v>
      </c>
      <c r="H6" s="34" t="n">
        <f aca="false">E6*IF($D6="USD",Assumptions!$B$6*(1+Assumptions!$B$8),1)</f>
        <v>0</v>
      </c>
      <c r="I6" s="34" t="n">
        <f aca="false">F6*IF($D6="USD",Assumptions!$B$6*(1+Assumptions!$B$8),1)</f>
        <v>0</v>
      </c>
      <c r="J6" s="34" t="n">
        <f aca="false">G6*IF($D6="USD",Assumptions!$B$6*(1+Assumptions!$B$8),1)</f>
        <v>0</v>
      </c>
      <c r="K6" s="21" t="s">
        <v>381</v>
      </c>
    </row>
    <row r="7" customFormat="false" ht="26.25" hidden="false" customHeight="true" outlineLevel="0" collapsed="false">
      <c r="A7" s="6" t="s">
        <v>382</v>
      </c>
      <c r="B7" s="6" t="s">
        <v>377</v>
      </c>
      <c r="C7" s="61" t="s">
        <v>93</v>
      </c>
      <c r="D7" s="62" t="s">
        <v>378</v>
      </c>
      <c r="E7" s="63" t="n">
        <v>0</v>
      </c>
      <c r="F7" s="63" t="n">
        <v>0</v>
      </c>
      <c r="G7" s="63" t="n">
        <v>0</v>
      </c>
      <c r="H7" s="34" t="n">
        <f aca="false">E7*IF($D7="USD",Assumptions!$B$6*(1+Assumptions!$B$8),1)</f>
        <v>0</v>
      </c>
      <c r="I7" s="34" t="n">
        <f aca="false">F7*IF($D7="USD",Assumptions!$B$6*(1+Assumptions!$B$8),1)</f>
        <v>0</v>
      </c>
      <c r="J7" s="34" t="n">
        <f aca="false">G7*IF($D7="USD",Assumptions!$B$6*(1+Assumptions!$B$8),1)</f>
        <v>0</v>
      </c>
      <c r="K7" s="21" t="s">
        <v>383</v>
      </c>
    </row>
    <row r="8" customFormat="false" ht="15" hidden="false" customHeight="true" outlineLevel="0" collapsed="false">
      <c r="A8" s="6" t="s">
        <v>384</v>
      </c>
      <c r="B8" s="6" t="s">
        <v>377</v>
      </c>
      <c r="C8" s="61" t="s">
        <v>93</v>
      </c>
      <c r="D8" s="62" t="s">
        <v>378</v>
      </c>
      <c r="E8" s="63" t="n">
        <v>0</v>
      </c>
      <c r="F8" s="63" t="n">
        <v>0</v>
      </c>
      <c r="G8" s="63" t="n">
        <v>0</v>
      </c>
      <c r="H8" s="34" t="n">
        <f aca="false">E8*IF($D8="USD",Assumptions!$B$6*(1+Assumptions!$B$8),1)</f>
        <v>0</v>
      </c>
      <c r="I8" s="34" t="n">
        <f aca="false">F8*IF($D8="USD",Assumptions!$B$6*(1+Assumptions!$B$8),1)</f>
        <v>0</v>
      </c>
      <c r="J8" s="34" t="n">
        <f aca="false">G8*IF($D8="USD",Assumptions!$B$6*(1+Assumptions!$B$8),1)</f>
        <v>0</v>
      </c>
      <c r="K8" s="21" t="s">
        <v>385</v>
      </c>
    </row>
    <row r="9" customFormat="false" ht="15" hidden="false" customHeight="true" outlineLevel="0" collapsed="false">
      <c r="A9" s="6" t="s">
        <v>386</v>
      </c>
      <c r="B9" s="6" t="s">
        <v>377</v>
      </c>
      <c r="C9" s="61" t="s">
        <v>387</v>
      </c>
      <c r="D9" s="62" t="s">
        <v>378</v>
      </c>
      <c r="E9" s="63" t="n">
        <v>1000</v>
      </c>
      <c r="F9" s="63" t="n">
        <v>1400</v>
      </c>
      <c r="G9" s="63" t="n">
        <v>2000</v>
      </c>
      <c r="H9" s="34" t="n">
        <f aca="false">E9*IF($D9="USD",Assumptions!$B$6*(1+Assumptions!$B$8),1)</f>
        <v>1000</v>
      </c>
      <c r="I9" s="34" t="n">
        <f aca="false">F9*IF($D9="USD",Assumptions!$B$6*(1+Assumptions!$B$8),1)</f>
        <v>1400</v>
      </c>
      <c r="J9" s="34" t="n">
        <f aca="false">G9*IF($D9="USD",Assumptions!$B$6*(1+Assumptions!$B$8),1)</f>
        <v>2000</v>
      </c>
      <c r="K9" s="21" t="s">
        <v>388</v>
      </c>
    </row>
    <row r="10" customFormat="false" ht="15" hidden="false" customHeight="true" outlineLevel="0" collapsed="false">
      <c r="A10" s="6" t="s">
        <v>389</v>
      </c>
      <c r="B10" s="6" t="s">
        <v>377</v>
      </c>
      <c r="C10" s="61" t="s">
        <v>93</v>
      </c>
      <c r="D10" s="62" t="s">
        <v>378</v>
      </c>
      <c r="E10" s="63" t="n">
        <v>271</v>
      </c>
      <c r="F10" s="63" t="n">
        <v>271</v>
      </c>
      <c r="G10" s="63" t="n">
        <v>271</v>
      </c>
      <c r="H10" s="34" t="n">
        <f aca="false">E10*IF($D10="USD",Assumptions!$B$6*(1+Assumptions!$B$8),1)</f>
        <v>271</v>
      </c>
      <c r="I10" s="34" t="n">
        <f aca="false">F10*IF($D10="USD",Assumptions!$B$6*(1+Assumptions!$B$8),1)</f>
        <v>271</v>
      </c>
      <c r="J10" s="34" t="n">
        <f aca="false">G10*IF($D10="USD",Assumptions!$B$6*(1+Assumptions!$B$8),1)</f>
        <v>271</v>
      </c>
      <c r="K10" s="21" t="s">
        <v>390</v>
      </c>
    </row>
    <row r="11" customFormat="false" ht="15" hidden="false" customHeight="true" outlineLevel="0" collapsed="false">
      <c r="A11" s="6" t="s">
        <v>391</v>
      </c>
      <c r="B11" s="6" t="s">
        <v>377</v>
      </c>
      <c r="C11" s="61" t="s">
        <v>387</v>
      </c>
      <c r="D11" s="62" t="s">
        <v>378</v>
      </c>
      <c r="E11" s="63" t="n">
        <v>900</v>
      </c>
      <c r="F11" s="63" t="n">
        <v>900</v>
      </c>
      <c r="G11" s="63" t="n">
        <v>900</v>
      </c>
      <c r="H11" s="34" t="n">
        <f aca="false">E11*IF($D11="USD",Assumptions!$B$6*(1+Assumptions!$B$8),1)</f>
        <v>900</v>
      </c>
      <c r="I11" s="34" t="n">
        <f aca="false">F11*IF($D11="USD",Assumptions!$B$6*(1+Assumptions!$B$8),1)</f>
        <v>900</v>
      </c>
      <c r="J11" s="34" t="n">
        <f aca="false">G11*IF($D11="USD",Assumptions!$B$6*(1+Assumptions!$B$8),1)</f>
        <v>900</v>
      </c>
      <c r="K11" s="21" t="s">
        <v>392</v>
      </c>
    </row>
    <row r="12" customFormat="false" ht="15" hidden="false" customHeight="true" outlineLevel="0" collapsed="false">
      <c r="A12" s="6" t="s">
        <v>393</v>
      </c>
      <c r="B12" s="6" t="s">
        <v>377</v>
      </c>
      <c r="C12" s="61" t="s">
        <v>387</v>
      </c>
      <c r="D12" s="62" t="s">
        <v>378</v>
      </c>
      <c r="E12" s="63" t="n">
        <v>0</v>
      </c>
      <c r="F12" s="63" t="n">
        <v>0</v>
      </c>
      <c r="G12" s="63" t="n">
        <v>500</v>
      </c>
      <c r="H12" s="34" t="n">
        <f aca="false">E12*IF($D12="USD",Assumptions!$B$6*(1+Assumptions!$B$8),1)</f>
        <v>0</v>
      </c>
      <c r="I12" s="34" t="n">
        <f aca="false">F12*IF($D12="USD",Assumptions!$B$6*(1+Assumptions!$B$8),1)</f>
        <v>0</v>
      </c>
      <c r="J12" s="34" t="n">
        <f aca="false">G12*IF($D12="USD",Assumptions!$B$6*(1+Assumptions!$B$8),1)</f>
        <v>500</v>
      </c>
      <c r="K12" s="21" t="s">
        <v>394</v>
      </c>
    </row>
    <row r="13" customFormat="false" ht="15" hidden="false" customHeight="true" outlineLevel="0" collapsed="false">
      <c r="A13" s="6" t="s">
        <v>395</v>
      </c>
      <c r="B13" s="6" t="s">
        <v>377</v>
      </c>
      <c r="C13" s="61" t="s">
        <v>93</v>
      </c>
      <c r="D13" s="62" t="s">
        <v>378</v>
      </c>
      <c r="E13" s="63" t="n">
        <v>0</v>
      </c>
      <c r="F13" s="63" t="n">
        <v>400</v>
      </c>
      <c r="G13" s="63" t="n">
        <v>1500</v>
      </c>
      <c r="H13" s="34" t="n">
        <f aca="false">E13*IF($D13="USD",Assumptions!$B$6*(1+Assumptions!$B$8),1)</f>
        <v>0</v>
      </c>
      <c r="I13" s="34" t="n">
        <f aca="false">F13*IF($D13="USD",Assumptions!$B$6*(1+Assumptions!$B$8),1)</f>
        <v>400</v>
      </c>
      <c r="J13" s="34" t="n">
        <f aca="false">G13*IF($D13="USD",Assumptions!$B$6*(1+Assumptions!$B$8),1)</f>
        <v>1500</v>
      </c>
      <c r="K13" s="21" t="s">
        <v>396</v>
      </c>
    </row>
    <row r="14" customFormat="false" ht="15" hidden="false" customHeight="true" outlineLevel="0" collapsed="false">
      <c r="A14" s="6" t="s">
        <v>397</v>
      </c>
      <c r="B14" s="6" t="s">
        <v>377</v>
      </c>
      <c r="C14" s="61" t="s">
        <v>93</v>
      </c>
      <c r="D14" s="62" t="s">
        <v>378</v>
      </c>
      <c r="E14" s="63" t="n">
        <v>0</v>
      </c>
      <c r="F14" s="63" t="n">
        <v>150</v>
      </c>
      <c r="G14" s="63" t="n">
        <v>300</v>
      </c>
      <c r="H14" s="34" t="n">
        <f aca="false">E14*IF($D14="USD",Assumptions!$B$6*(1+Assumptions!$B$8),1)</f>
        <v>0</v>
      </c>
      <c r="I14" s="34" t="n">
        <f aca="false">F14*IF($D14="USD",Assumptions!$B$6*(1+Assumptions!$B$8),1)</f>
        <v>150</v>
      </c>
      <c r="J14" s="34" t="n">
        <f aca="false">G14*IF($D14="USD",Assumptions!$B$6*(1+Assumptions!$B$8),1)</f>
        <v>300</v>
      </c>
      <c r="K14" s="21" t="s">
        <v>398</v>
      </c>
    </row>
    <row r="15" customFormat="false" ht="15" hidden="false" customHeight="true" outlineLevel="0" collapsed="false">
      <c r="A15" s="6" t="s">
        <v>399</v>
      </c>
      <c r="B15" s="6" t="s">
        <v>400</v>
      </c>
      <c r="C15" s="61" t="s">
        <v>93</v>
      </c>
      <c r="D15" s="62" t="s">
        <v>401</v>
      </c>
      <c r="E15" s="63" t="n">
        <v>25</v>
      </c>
      <c r="F15" s="63" t="n">
        <v>25</v>
      </c>
      <c r="G15" s="63" t="n">
        <v>25</v>
      </c>
      <c r="H15" s="34" t="n">
        <f aca="false">E15*IF($D15="USD",Assumptions!$B$6*(1+Assumptions!$B$8),1)</f>
        <v>26.015</v>
      </c>
      <c r="I15" s="34" t="n">
        <f aca="false">F15*IF($D15="USD",Assumptions!$B$6*(1+Assumptions!$B$8),1)</f>
        <v>26.015</v>
      </c>
      <c r="J15" s="34" t="n">
        <f aca="false">G15*IF($D15="USD",Assumptions!$B$6*(1+Assumptions!$B$8),1)</f>
        <v>26.015</v>
      </c>
      <c r="K15" s="21" t="s">
        <v>402</v>
      </c>
    </row>
    <row r="16" customFormat="false" ht="15" hidden="false" customHeight="true" outlineLevel="0" collapsed="false">
      <c r="A16" s="6" t="s">
        <v>403</v>
      </c>
      <c r="B16" s="6" t="s">
        <v>400</v>
      </c>
      <c r="C16" s="61" t="s">
        <v>387</v>
      </c>
      <c r="D16" s="62" t="s">
        <v>378</v>
      </c>
      <c r="E16" s="63" t="n">
        <v>0</v>
      </c>
      <c r="F16" s="63" t="n">
        <v>0</v>
      </c>
      <c r="G16" s="63" t="n">
        <v>700</v>
      </c>
      <c r="H16" s="34" t="n">
        <f aca="false">E16*IF($D16="USD",Assumptions!$B$6*(1+Assumptions!$B$8),1)</f>
        <v>0</v>
      </c>
      <c r="I16" s="34" t="n">
        <f aca="false">F16*IF($D16="USD",Assumptions!$B$6*(1+Assumptions!$B$8),1)</f>
        <v>0</v>
      </c>
      <c r="J16" s="34" t="n">
        <f aca="false">G16*IF($D16="USD",Assumptions!$B$6*(1+Assumptions!$B$8),1)</f>
        <v>700</v>
      </c>
      <c r="K16" s="21" t="s">
        <v>404</v>
      </c>
    </row>
    <row r="17" customFormat="false" ht="15" hidden="false" customHeight="true" outlineLevel="0" collapsed="false">
      <c r="A17" s="6" t="s">
        <v>405</v>
      </c>
      <c r="B17" s="6" t="s">
        <v>400</v>
      </c>
      <c r="C17" s="61" t="s">
        <v>387</v>
      </c>
      <c r="D17" s="62" t="s">
        <v>378</v>
      </c>
      <c r="E17" s="63" t="n">
        <v>0</v>
      </c>
      <c r="F17" s="63" t="n">
        <v>150</v>
      </c>
      <c r="G17" s="63" t="n">
        <v>400</v>
      </c>
      <c r="H17" s="34" t="n">
        <f aca="false">E17*IF($D17="USD",Assumptions!$B$6*(1+Assumptions!$B$8),1)</f>
        <v>0</v>
      </c>
      <c r="I17" s="34" t="n">
        <f aca="false">F17*IF($D17="USD",Assumptions!$B$6*(1+Assumptions!$B$8),1)</f>
        <v>150</v>
      </c>
      <c r="J17" s="34" t="n">
        <f aca="false">G17*IF($D17="USD",Assumptions!$B$6*(1+Assumptions!$B$8),1)</f>
        <v>400</v>
      </c>
      <c r="K17" s="21"/>
    </row>
    <row r="18" customFormat="false" ht="26.25" hidden="false" customHeight="true" outlineLevel="0" collapsed="false">
      <c r="A18" s="6" t="s">
        <v>406</v>
      </c>
      <c r="B18" s="6" t="s">
        <v>400</v>
      </c>
      <c r="C18" s="61" t="s">
        <v>93</v>
      </c>
      <c r="D18" s="62" t="s">
        <v>401</v>
      </c>
      <c r="E18" s="63" t="n">
        <v>10</v>
      </c>
      <c r="F18" s="63" t="n">
        <v>20</v>
      </c>
      <c r="G18" s="63" t="n">
        <v>40</v>
      </c>
      <c r="H18" s="34" t="n">
        <f aca="false">E18*IF($D18="USD",Assumptions!$B$6*(1+Assumptions!$B$8),1)</f>
        <v>10.406</v>
      </c>
      <c r="I18" s="34" t="n">
        <f aca="false">F18*IF($D18="USD",Assumptions!$B$6*(1+Assumptions!$B$8),1)</f>
        <v>20.812</v>
      </c>
      <c r="J18" s="34" t="n">
        <f aca="false">G18*IF($D18="USD",Assumptions!$B$6*(1+Assumptions!$B$8),1)</f>
        <v>41.624</v>
      </c>
      <c r="K18" s="21" t="s">
        <v>407</v>
      </c>
    </row>
    <row r="19" customFormat="false" ht="15" hidden="false" customHeight="true" outlineLevel="0" collapsed="false">
      <c r="A19" s="6" t="s">
        <v>408</v>
      </c>
      <c r="B19" s="6" t="s">
        <v>400</v>
      </c>
      <c r="C19" s="61" t="s">
        <v>93</v>
      </c>
      <c r="D19" s="62" t="s">
        <v>378</v>
      </c>
      <c r="E19" s="63" t="n">
        <v>0</v>
      </c>
      <c r="F19" s="63" t="n">
        <v>0</v>
      </c>
      <c r="G19" s="63" t="n">
        <v>0</v>
      </c>
      <c r="H19" s="34" t="n">
        <f aca="false">E19*IF($D19="USD",Assumptions!$B$6*(1+Assumptions!$B$8),1)</f>
        <v>0</v>
      </c>
      <c r="I19" s="34" t="n">
        <f aca="false">F19*IF($D19="USD",Assumptions!$B$6*(1+Assumptions!$B$8),1)</f>
        <v>0</v>
      </c>
      <c r="J19" s="34" t="n">
        <f aca="false">G19*IF($D19="USD",Assumptions!$B$6*(1+Assumptions!$B$8),1)</f>
        <v>0</v>
      </c>
      <c r="K19" s="21" t="s">
        <v>409</v>
      </c>
    </row>
    <row r="20" customFormat="false" ht="26.25" hidden="false" customHeight="true" outlineLevel="0" collapsed="false">
      <c r="A20" s="6" t="s">
        <v>410</v>
      </c>
      <c r="B20" s="6" t="s">
        <v>400</v>
      </c>
      <c r="C20" s="61" t="s">
        <v>93</v>
      </c>
      <c r="D20" s="62" t="s">
        <v>378</v>
      </c>
      <c r="E20" s="63" t="n">
        <v>0</v>
      </c>
      <c r="F20" s="63" t="n">
        <v>0</v>
      </c>
      <c r="G20" s="63" t="n">
        <v>0</v>
      </c>
      <c r="H20" s="34" t="n">
        <f aca="false">E20*IF($D20="USD",Assumptions!$B$6*(1+Assumptions!$B$8),1)</f>
        <v>0</v>
      </c>
      <c r="I20" s="34" t="n">
        <f aca="false">F20*IF($D20="USD",Assumptions!$B$6*(1+Assumptions!$B$8),1)</f>
        <v>0</v>
      </c>
      <c r="J20" s="34" t="n">
        <f aca="false">G20*IF($D20="USD",Assumptions!$B$6*(1+Assumptions!$B$8),1)</f>
        <v>0</v>
      </c>
      <c r="K20" s="21" t="s">
        <v>411</v>
      </c>
    </row>
    <row r="21" customFormat="false" ht="15" hidden="false" customHeight="true" outlineLevel="0" collapsed="false">
      <c r="A21" s="6" t="s">
        <v>412</v>
      </c>
      <c r="B21" s="6" t="s">
        <v>413</v>
      </c>
      <c r="C21" s="61" t="s">
        <v>387</v>
      </c>
      <c r="D21" s="62" t="s">
        <v>378</v>
      </c>
      <c r="E21" s="63" t="n">
        <v>0</v>
      </c>
      <c r="F21" s="63" t="n">
        <v>300</v>
      </c>
      <c r="G21" s="63" t="n">
        <v>1500</v>
      </c>
      <c r="H21" s="34" t="n">
        <f aca="false">E21*IF($D21="USD",Assumptions!$B$6*(1+Assumptions!$B$8),1)</f>
        <v>0</v>
      </c>
      <c r="I21" s="34" t="n">
        <f aca="false">F21*IF($D21="USD",Assumptions!$B$6*(1+Assumptions!$B$8),1)</f>
        <v>300</v>
      </c>
      <c r="J21" s="34" t="n">
        <f aca="false">G21*IF($D21="USD",Assumptions!$B$6*(1+Assumptions!$B$8),1)</f>
        <v>1500</v>
      </c>
      <c r="K21" s="21" t="s">
        <v>414</v>
      </c>
    </row>
    <row r="23" customFormat="false" ht="15" hidden="false" customHeight="true" outlineLevel="0" collapsed="false">
      <c r="A23" s="8" t="s">
        <v>415</v>
      </c>
      <c r="H23" s="64" t="n">
        <f aca="false">SUMIFS(H5:H21,$C$5:$C$21,"Y")</f>
        <v>418.921</v>
      </c>
      <c r="I23" s="64" t="n">
        <f aca="false">SUMIFS(I5:I21,$C$5:$C$21,"Y")</f>
        <v>979.327</v>
      </c>
      <c r="J23" s="64" t="n">
        <f aca="false">SUMIFS(J5:J21,$C$5:$C$21,"Y")</f>
        <v>2250.139</v>
      </c>
    </row>
    <row r="24" customFormat="false" ht="15" hidden="false" customHeight="true" outlineLevel="0" collapsed="false">
      <c r="A24" s="8" t="s">
        <v>416</v>
      </c>
      <c r="H24" s="64" t="n">
        <f aca="false">SUM(H5:H21)</f>
        <v>2318.921</v>
      </c>
      <c r="I24" s="64" t="n">
        <f aca="false">SUM(I5:I21)</f>
        <v>3729.327</v>
      </c>
      <c r="J24" s="64" t="n">
        <f aca="false">SUM(J5:J21)</f>
        <v>8250.139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1" width="58"/>
    <col collapsed="false" customWidth="true" hidden="false" outlineLevel="0" max="3" min="2" style="1" width="11"/>
    <col collapsed="false" customWidth="true" hidden="false" outlineLevel="0" max="8" min="4" style="1" width="9"/>
    <col collapsed="false" customWidth="true" hidden="false" outlineLevel="0" max="11" min="9" style="1" width="13"/>
    <col collapsed="false" customWidth="true" hidden="false" outlineLevel="0" max="12" min="12" style="1" width="95"/>
  </cols>
  <sheetData>
    <row r="1" customFormat="false" ht="17.25" hidden="false" customHeight="true" outlineLevel="0" collapsed="false">
      <c r="A1" s="2" t="s">
        <v>417</v>
      </c>
    </row>
    <row r="2" customFormat="false" ht="15" hidden="false" customHeight="true" outlineLevel="0" collapsed="false">
      <c r="A2" s="3" t="s">
        <v>418</v>
      </c>
    </row>
    <row r="4" customFormat="false" ht="15" hidden="false" customHeight="true" outlineLevel="0" collapsed="false">
      <c r="A4" s="19" t="s">
        <v>365</v>
      </c>
      <c r="B4" s="19" t="s">
        <v>366</v>
      </c>
      <c r="C4" s="19" t="s">
        <v>367</v>
      </c>
      <c r="D4" s="19" t="s">
        <v>368</v>
      </c>
      <c r="E4" s="19" t="s">
        <v>419</v>
      </c>
      <c r="F4" s="19" t="s">
        <v>420</v>
      </c>
      <c r="G4" s="19" t="s">
        <v>421</v>
      </c>
      <c r="H4" s="19" t="s">
        <v>422</v>
      </c>
      <c r="I4" s="19" t="s">
        <v>423</v>
      </c>
      <c r="J4" s="19" t="s">
        <v>424</v>
      </c>
      <c r="K4" s="19" t="s">
        <v>425</v>
      </c>
      <c r="L4" s="19" t="s">
        <v>375</v>
      </c>
    </row>
    <row r="5" customFormat="false" ht="15" hidden="false" customHeight="true" outlineLevel="0" collapsed="false">
      <c r="A5" s="6" t="s">
        <v>426</v>
      </c>
      <c r="B5" s="6" t="s">
        <v>427</v>
      </c>
      <c r="C5" s="61" t="s">
        <v>93</v>
      </c>
      <c r="D5" s="62" t="s">
        <v>401</v>
      </c>
      <c r="E5" s="62" t="s">
        <v>324</v>
      </c>
      <c r="F5" s="63" t="n">
        <v>7</v>
      </c>
      <c r="G5" s="63" t="n">
        <v>25</v>
      </c>
      <c r="H5" s="63" t="n">
        <v>85</v>
      </c>
      <c r="I5" s="34" t="n">
        <f aca="false">F5*IF($D5="USD",Assumptions!$B$6*(1+Assumptions!$B$8),1)/IF($E5="year",12,1)</f>
        <v>7.2842</v>
      </c>
      <c r="J5" s="34" t="n">
        <f aca="false">G5*IF($D5="USD",Assumptions!$B$6*(1+Assumptions!$B$8),1)/IF($E5="year",12,1)</f>
        <v>26.015</v>
      </c>
      <c r="K5" s="34" t="n">
        <f aca="false">H5*IF($D5="USD",Assumptions!$B$6*(1+Assumptions!$B$8),1)/IF($E5="year",12,1)</f>
        <v>88.451</v>
      </c>
      <c r="L5" s="21" t="s">
        <v>428</v>
      </c>
    </row>
    <row r="6" customFormat="false" ht="15" hidden="false" customHeight="true" outlineLevel="0" collapsed="false">
      <c r="A6" s="6" t="s">
        <v>429</v>
      </c>
      <c r="B6" s="6" t="s">
        <v>427</v>
      </c>
      <c r="C6" s="61" t="s">
        <v>93</v>
      </c>
      <c r="D6" s="62" t="s">
        <v>401</v>
      </c>
      <c r="E6" s="62" t="s">
        <v>324</v>
      </c>
      <c r="F6" s="63" t="n">
        <v>0.25</v>
      </c>
      <c r="G6" s="63" t="n">
        <v>1.25</v>
      </c>
      <c r="H6" s="63" t="n">
        <v>5</v>
      </c>
      <c r="I6" s="34" t="n">
        <f aca="false">F6*IF($D6="USD",Assumptions!$B$6*(1+Assumptions!$B$8),1)/IF($E6="year",12,1)</f>
        <v>0.26015</v>
      </c>
      <c r="J6" s="34" t="n">
        <f aca="false">G6*IF($D6="USD",Assumptions!$B$6*(1+Assumptions!$B$8),1)/IF($E6="year",12,1)</f>
        <v>1.30075</v>
      </c>
      <c r="K6" s="34" t="n">
        <f aca="false">H6*IF($D6="USD",Assumptions!$B$6*(1+Assumptions!$B$8),1)/IF($E6="year",12,1)</f>
        <v>5.203</v>
      </c>
      <c r="L6" s="21" t="s">
        <v>430</v>
      </c>
    </row>
    <row r="7" customFormat="false" ht="15" hidden="false" customHeight="true" outlineLevel="0" collapsed="false">
      <c r="A7" s="6" t="s">
        <v>431</v>
      </c>
      <c r="B7" s="6" t="s">
        <v>427</v>
      </c>
      <c r="C7" s="61" t="s">
        <v>93</v>
      </c>
      <c r="D7" s="62" t="s">
        <v>401</v>
      </c>
      <c r="E7" s="62" t="s">
        <v>324</v>
      </c>
      <c r="F7" s="63" t="n">
        <v>7</v>
      </c>
      <c r="G7" s="63" t="n">
        <v>25</v>
      </c>
      <c r="H7" s="63" t="n">
        <v>25</v>
      </c>
      <c r="I7" s="34" t="n">
        <f aca="false">F7*IF($D7="USD",Assumptions!$B$6*(1+Assumptions!$B$8),1)/IF($E7="year",12,1)</f>
        <v>7.2842</v>
      </c>
      <c r="J7" s="34" t="n">
        <f aca="false">G7*IF($D7="USD",Assumptions!$B$6*(1+Assumptions!$B$8),1)/IF($E7="year",12,1)</f>
        <v>26.015</v>
      </c>
      <c r="K7" s="34" t="n">
        <f aca="false">H7*IF($D7="USD",Assumptions!$B$6*(1+Assumptions!$B$8),1)/IF($E7="year",12,1)</f>
        <v>26.015</v>
      </c>
      <c r="L7" s="21" t="s">
        <v>432</v>
      </c>
    </row>
    <row r="8" customFormat="false" ht="15" hidden="false" customHeight="true" outlineLevel="0" collapsed="false">
      <c r="A8" s="6" t="s">
        <v>433</v>
      </c>
      <c r="B8" s="6" t="s">
        <v>427</v>
      </c>
      <c r="C8" s="61" t="s">
        <v>93</v>
      </c>
      <c r="D8" s="62" t="s">
        <v>401</v>
      </c>
      <c r="E8" s="62" t="s">
        <v>324</v>
      </c>
      <c r="F8" s="63" t="n">
        <v>0</v>
      </c>
      <c r="G8" s="63" t="n">
        <v>0</v>
      </c>
      <c r="H8" s="63" t="n">
        <v>19</v>
      </c>
      <c r="I8" s="34" t="n">
        <f aca="false">F8*IF($D8="USD",Assumptions!$B$6*(1+Assumptions!$B$8),1)/IF($E8="year",12,1)</f>
        <v>0</v>
      </c>
      <c r="J8" s="34" t="n">
        <f aca="false">G8*IF($D8="USD",Assumptions!$B$6*(1+Assumptions!$B$8),1)/IF($E8="year",12,1)</f>
        <v>0</v>
      </c>
      <c r="K8" s="34" t="n">
        <f aca="false">H8*IF($D8="USD",Assumptions!$B$6*(1+Assumptions!$B$8),1)/IF($E8="year",12,1)</f>
        <v>19.7714</v>
      </c>
      <c r="L8" s="21" t="s">
        <v>434</v>
      </c>
    </row>
    <row r="9" customFormat="false" ht="15" hidden="false" customHeight="true" outlineLevel="0" collapsed="false">
      <c r="A9" s="6" t="s">
        <v>435</v>
      </c>
      <c r="B9" s="6" t="s">
        <v>427</v>
      </c>
      <c r="C9" s="61" t="s">
        <v>93</v>
      </c>
      <c r="D9" s="62" t="s">
        <v>401</v>
      </c>
      <c r="E9" s="62" t="s">
        <v>324</v>
      </c>
      <c r="F9" s="63" t="n">
        <v>20</v>
      </c>
      <c r="G9" s="63" t="n">
        <v>20</v>
      </c>
      <c r="H9" s="63" t="n">
        <v>20</v>
      </c>
      <c r="I9" s="34" t="n">
        <f aca="false">F9*IF($D9="USD",Assumptions!$B$6*(1+Assumptions!$B$8),1)/IF($E9="year",12,1)</f>
        <v>20.812</v>
      </c>
      <c r="J9" s="34" t="n">
        <f aca="false">G9*IF($D9="USD",Assumptions!$B$6*(1+Assumptions!$B$8),1)/IF($E9="year",12,1)</f>
        <v>20.812</v>
      </c>
      <c r="K9" s="34" t="n">
        <f aca="false">H9*IF($D9="USD",Assumptions!$B$6*(1+Assumptions!$B$8),1)/IF($E9="year",12,1)</f>
        <v>20.812</v>
      </c>
      <c r="L9" s="21" t="s">
        <v>436</v>
      </c>
    </row>
    <row r="10" customFormat="false" ht="26.25" hidden="false" customHeight="true" outlineLevel="0" collapsed="false">
      <c r="A10" s="6" t="s">
        <v>437</v>
      </c>
      <c r="B10" s="6" t="s">
        <v>427</v>
      </c>
      <c r="C10" s="61" t="s">
        <v>93</v>
      </c>
      <c r="D10" s="62" t="s">
        <v>401</v>
      </c>
      <c r="E10" s="62" t="s">
        <v>324</v>
      </c>
      <c r="F10" s="63" t="n">
        <v>25</v>
      </c>
      <c r="G10" s="63" t="n">
        <v>30</v>
      </c>
      <c r="H10" s="63" t="n">
        <v>75</v>
      </c>
      <c r="I10" s="34" t="n">
        <f aca="false">F10*IF($D10="USD",Assumptions!$B$6*(1+Assumptions!$B$8),1)/IF($E10="year",12,1)</f>
        <v>26.015</v>
      </c>
      <c r="J10" s="34" t="n">
        <f aca="false">G10*IF($D10="USD",Assumptions!$B$6*(1+Assumptions!$B$8),1)/IF($E10="year",12,1)</f>
        <v>31.218</v>
      </c>
      <c r="K10" s="34" t="n">
        <f aca="false">H10*IF($D10="USD",Assumptions!$B$6*(1+Assumptions!$B$8),1)/IF($E10="year",12,1)</f>
        <v>78.045</v>
      </c>
      <c r="L10" s="21" t="s">
        <v>438</v>
      </c>
    </row>
    <row r="11" customFormat="false" ht="15" hidden="false" customHeight="true" outlineLevel="0" collapsed="false">
      <c r="A11" s="6" t="s">
        <v>439</v>
      </c>
      <c r="B11" s="6" t="s">
        <v>427</v>
      </c>
      <c r="C11" s="61" t="s">
        <v>93</v>
      </c>
      <c r="D11" s="62" t="s">
        <v>401</v>
      </c>
      <c r="E11" s="62" t="s">
        <v>324</v>
      </c>
      <c r="F11" s="63" t="n">
        <v>0</v>
      </c>
      <c r="G11" s="63" t="n">
        <v>20</v>
      </c>
      <c r="H11" s="63" t="n">
        <v>20</v>
      </c>
      <c r="I11" s="34" t="n">
        <f aca="false">F11*IF($D11="USD",Assumptions!$B$6*(1+Assumptions!$B$8),1)/IF($E11="year",12,1)</f>
        <v>0</v>
      </c>
      <c r="J11" s="34" t="n">
        <f aca="false">G11*IF($D11="USD",Assumptions!$B$6*(1+Assumptions!$B$8),1)/IF($E11="year",12,1)</f>
        <v>20.812</v>
      </c>
      <c r="K11" s="34" t="n">
        <f aca="false">H11*IF($D11="USD",Assumptions!$B$6*(1+Assumptions!$B$8),1)/IF($E11="year",12,1)</f>
        <v>20.812</v>
      </c>
      <c r="L11" s="21" t="s">
        <v>440</v>
      </c>
    </row>
    <row r="12" customFormat="false" ht="15" hidden="false" customHeight="true" outlineLevel="0" collapsed="false">
      <c r="A12" s="6" t="s">
        <v>441</v>
      </c>
      <c r="B12" s="6" t="s">
        <v>427</v>
      </c>
      <c r="C12" s="61" t="s">
        <v>93</v>
      </c>
      <c r="D12" s="62" t="s">
        <v>401</v>
      </c>
      <c r="E12" s="62" t="s">
        <v>324</v>
      </c>
      <c r="F12" s="63" t="n">
        <v>0</v>
      </c>
      <c r="G12" s="63" t="n">
        <v>0</v>
      </c>
      <c r="H12" s="63" t="n">
        <v>26</v>
      </c>
      <c r="I12" s="34" t="n">
        <f aca="false">F12*IF($D12="USD",Assumptions!$B$6*(1+Assumptions!$B$8),1)/IF($E12="year",12,1)</f>
        <v>0</v>
      </c>
      <c r="J12" s="34" t="n">
        <f aca="false">G12*IF($D12="USD",Assumptions!$B$6*(1+Assumptions!$B$8),1)/IF($E12="year",12,1)</f>
        <v>0</v>
      </c>
      <c r="K12" s="34" t="n">
        <f aca="false">H12*IF($D12="USD",Assumptions!$B$6*(1+Assumptions!$B$8),1)/IF($E12="year",12,1)</f>
        <v>27.0556</v>
      </c>
      <c r="L12" s="21" t="s">
        <v>442</v>
      </c>
    </row>
    <row r="13" customFormat="false" ht="15" hidden="false" customHeight="true" outlineLevel="0" collapsed="false">
      <c r="A13" s="6" t="s">
        <v>443</v>
      </c>
      <c r="B13" s="6" t="s">
        <v>444</v>
      </c>
      <c r="C13" s="61" t="s">
        <v>93</v>
      </c>
      <c r="D13" s="62" t="s">
        <v>401</v>
      </c>
      <c r="E13" s="62" t="s">
        <v>324</v>
      </c>
      <c r="F13" s="63" t="n">
        <v>2</v>
      </c>
      <c r="G13" s="63" t="n">
        <v>5</v>
      </c>
      <c r="H13" s="63" t="n">
        <v>10</v>
      </c>
      <c r="I13" s="34" t="n">
        <f aca="false">F13*IF($D13="USD",Assumptions!$B$6*(1+Assumptions!$B$8),1)/IF($E13="year",12,1)</f>
        <v>2.0812</v>
      </c>
      <c r="J13" s="34" t="n">
        <f aca="false">G13*IF($D13="USD",Assumptions!$B$6*(1+Assumptions!$B$8),1)/IF($E13="year",12,1)</f>
        <v>5.203</v>
      </c>
      <c r="K13" s="34" t="n">
        <f aca="false">H13*IF($D13="USD",Assumptions!$B$6*(1+Assumptions!$B$8),1)/IF($E13="year",12,1)</f>
        <v>10.406</v>
      </c>
      <c r="L13" s="21" t="s">
        <v>445</v>
      </c>
    </row>
    <row r="14" customFormat="false" ht="26.25" hidden="false" customHeight="true" outlineLevel="0" collapsed="false">
      <c r="A14" s="6" t="s">
        <v>446</v>
      </c>
      <c r="B14" s="6" t="s">
        <v>444</v>
      </c>
      <c r="C14" s="61" t="s">
        <v>387</v>
      </c>
      <c r="D14" s="62" t="s">
        <v>401</v>
      </c>
      <c r="E14" s="62" t="s">
        <v>324</v>
      </c>
      <c r="F14" s="63" t="n">
        <v>3.5</v>
      </c>
      <c r="G14" s="63" t="n">
        <v>7</v>
      </c>
      <c r="H14" s="63" t="n">
        <v>14</v>
      </c>
      <c r="I14" s="34" t="n">
        <f aca="false">F14*IF($D14="USD",Assumptions!$B$6*(1+Assumptions!$B$8),1)/IF($E14="year",12,1)</f>
        <v>3.6421</v>
      </c>
      <c r="J14" s="34" t="n">
        <f aca="false">G14*IF($D14="USD",Assumptions!$B$6*(1+Assumptions!$B$8),1)/IF($E14="year",12,1)</f>
        <v>7.2842</v>
      </c>
      <c r="K14" s="34" t="n">
        <f aca="false">H14*IF($D14="USD",Assumptions!$B$6*(1+Assumptions!$B$8),1)/IF($E14="year",12,1)</f>
        <v>14.5684</v>
      </c>
      <c r="L14" s="21" t="s">
        <v>447</v>
      </c>
    </row>
    <row r="15" customFormat="false" ht="15" hidden="false" customHeight="true" outlineLevel="0" collapsed="false">
      <c r="A15" s="6" t="s">
        <v>448</v>
      </c>
      <c r="B15" s="6" t="s">
        <v>449</v>
      </c>
      <c r="C15" s="61" t="s">
        <v>93</v>
      </c>
      <c r="D15" s="62" t="s">
        <v>401</v>
      </c>
      <c r="E15" s="62" t="s">
        <v>450</v>
      </c>
      <c r="F15" s="63" t="n">
        <v>15</v>
      </c>
      <c r="G15" s="63" t="n">
        <v>15</v>
      </c>
      <c r="H15" s="63" t="n">
        <v>15</v>
      </c>
      <c r="I15" s="34" t="n">
        <f aca="false">F15*IF($D15="USD",Assumptions!$B$6*(1+Assumptions!$B$8),1)/IF($E15="year",12,1)</f>
        <v>1.30075</v>
      </c>
      <c r="J15" s="34" t="n">
        <f aca="false">G15*IF($D15="USD",Assumptions!$B$6*(1+Assumptions!$B$8),1)/IF($E15="year",12,1)</f>
        <v>1.30075</v>
      </c>
      <c r="K15" s="34" t="n">
        <f aca="false">H15*IF($D15="USD",Assumptions!$B$6*(1+Assumptions!$B$8),1)/IF($E15="year",12,1)</f>
        <v>1.30075</v>
      </c>
      <c r="L15" s="21" t="s">
        <v>451</v>
      </c>
    </row>
    <row r="16" customFormat="false" ht="15" hidden="false" customHeight="true" outlineLevel="0" collapsed="false">
      <c r="A16" s="6" t="s">
        <v>452</v>
      </c>
      <c r="B16" s="6" t="s">
        <v>449</v>
      </c>
      <c r="C16" s="61" t="s">
        <v>93</v>
      </c>
      <c r="D16" s="62" t="s">
        <v>378</v>
      </c>
      <c r="E16" s="62" t="s">
        <v>324</v>
      </c>
      <c r="F16" s="63" t="n">
        <v>0</v>
      </c>
      <c r="G16" s="63" t="n">
        <v>0</v>
      </c>
      <c r="H16" s="63" t="n">
        <v>7</v>
      </c>
      <c r="I16" s="34" t="n">
        <f aca="false">F16*IF($D16="USD",Assumptions!$B$6*(1+Assumptions!$B$8),1)/IF($E16="year",12,1)</f>
        <v>0</v>
      </c>
      <c r="J16" s="34" t="n">
        <f aca="false">G16*IF($D16="USD",Assumptions!$B$6*(1+Assumptions!$B$8),1)/IF($E16="year",12,1)</f>
        <v>0</v>
      </c>
      <c r="K16" s="34" t="n">
        <f aca="false">H16*IF($D16="USD",Assumptions!$B$6*(1+Assumptions!$B$8),1)/IF($E16="year",12,1)</f>
        <v>7</v>
      </c>
      <c r="L16" s="21" t="s">
        <v>453</v>
      </c>
    </row>
    <row r="17" customFormat="false" ht="15" hidden="false" customHeight="true" outlineLevel="0" collapsed="false">
      <c r="A17" s="6" t="s">
        <v>454</v>
      </c>
      <c r="B17" s="6" t="s">
        <v>455</v>
      </c>
      <c r="C17" s="61" t="s">
        <v>93</v>
      </c>
      <c r="D17" s="62" t="s">
        <v>401</v>
      </c>
      <c r="E17" s="62" t="s">
        <v>450</v>
      </c>
      <c r="F17" s="63" t="n">
        <v>99</v>
      </c>
      <c r="G17" s="63" t="n">
        <v>99</v>
      </c>
      <c r="H17" s="63" t="n">
        <v>99</v>
      </c>
      <c r="I17" s="34" t="n">
        <f aca="false">F17*IF($D17="USD",Assumptions!$B$6*(1+Assumptions!$B$8),1)/IF($E17="year",12,1)</f>
        <v>8.58495</v>
      </c>
      <c r="J17" s="34" t="n">
        <f aca="false">G17*IF($D17="USD",Assumptions!$B$6*(1+Assumptions!$B$8),1)/IF($E17="year",12,1)</f>
        <v>8.58495</v>
      </c>
      <c r="K17" s="34" t="n">
        <f aca="false">H17*IF($D17="USD",Assumptions!$B$6*(1+Assumptions!$B$8),1)/IF($E17="year",12,1)</f>
        <v>8.58495</v>
      </c>
      <c r="L17" s="21" t="s">
        <v>456</v>
      </c>
    </row>
    <row r="18" customFormat="false" ht="26.25" hidden="false" customHeight="true" outlineLevel="0" collapsed="false">
      <c r="A18" s="6" t="s">
        <v>457</v>
      </c>
      <c r="B18" s="6" t="s">
        <v>458</v>
      </c>
      <c r="C18" s="61" t="s">
        <v>93</v>
      </c>
      <c r="D18" s="62" t="s">
        <v>378</v>
      </c>
      <c r="E18" s="62" t="s">
        <v>324</v>
      </c>
      <c r="F18" s="63" t="n">
        <v>50</v>
      </c>
      <c r="G18" s="63" t="n">
        <v>100</v>
      </c>
      <c r="H18" s="63" t="n">
        <v>200</v>
      </c>
      <c r="I18" s="34" t="n">
        <f aca="false">F18*IF($D18="USD",Assumptions!$B$6*(1+Assumptions!$B$8),1)/IF($E18="year",12,1)</f>
        <v>50</v>
      </c>
      <c r="J18" s="34" t="n">
        <f aca="false">G18*IF($D18="USD",Assumptions!$B$6*(1+Assumptions!$B$8),1)/IF($E18="year",12,1)</f>
        <v>100</v>
      </c>
      <c r="K18" s="34" t="n">
        <f aca="false">H18*IF($D18="USD",Assumptions!$B$6*(1+Assumptions!$B$8),1)/IF($E18="year",12,1)</f>
        <v>200</v>
      </c>
      <c r="L18" s="21" t="s">
        <v>459</v>
      </c>
    </row>
    <row r="19" customFormat="false" ht="15" hidden="false" customHeight="true" outlineLevel="0" collapsed="false">
      <c r="A19" s="6" t="s">
        <v>460</v>
      </c>
      <c r="B19" s="6" t="s">
        <v>458</v>
      </c>
      <c r="C19" s="61" t="s">
        <v>93</v>
      </c>
      <c r="D19" s="62" t="s">
        <v>378</v>
      </c>
      <c r="E19" s="62" t="s">
        <v>324</v>
      </c>
      <c r="F19" s="63" t="n">
        <v>5</v>
      </c>
      <c r="G19" s="63" t="n">
        <v>10</v>
      </c>
      <c r="H19" s="63" t="n">
        <v>15</v>
      </c>
      <c r="I19" s="34" t="n">
        <f aca="false">F19*IF($D19="USD",Assumptions!$B$6*(1+Assumptions!$B$8),1)/IF($E19="year",12,1)</f>
        <v>5</v>
      </c>
      <c r="J19" s="34" t="n">
        <f aca="false">G19*IF($D19="USD",Assumptions!$B$6*(1+Assumptions!$B$8),1)/IF($E19="year",12,1)</f>
        <v>10</v>
      </c>
      <c r="K19" s="34" t="n">
        <f aca="false">H19*IF($D19="USD",Assumptions!$B$6*(1+Assumptions!$B$8),1)/IF($E19="year",12,1)</f>
        <v>15</v>
      </c>
      <c r="L19" s="21" t="s">
        <v>461</v>
      </c>
    </row>
    <row r="20" customFormat="false" ht="15" hidden="false" customHeight="true" outlineLevel="0" collapsed="false">
      <c r="A20" s="6" t="s">
        <v>462</v>
      </c>
      <c r="B20" s="6" t="s">
        <v>458</v>
      </c>
      <c r="C20" s="61" t="s">
        <v>387</v>
      </c>
      <c r="D20" s="62" t="s">
        <v>378</v>
      </c>
      <c r="E20" s="62" t="s">
        <v>324</v>
      </c>
      <c r="F20" s="63" t="n">
        <v>0</v>
      </c>
      <c r="G20" s="63" t="n">
        <v>25</v>
      </c>
      <c r="H20" s="63" t="n">
        <v>40</v>
      </c>
      <c r="I20" s="34" t="n">
        <f aca="false">F20*IF($D20="USD",Assumptions!$B$6*(1+Assumptions!$B$8),1)/IF($E20="year",12,1)</f>
        <v>0</v>
      </c>
      <c r="J20" s="34" t="n">
        <f aca="false">G20*IF($D20="USD",Assumptions!$B$6*(1+Assumptions!$B$8),1)/IF($E20="year",12,1)</f>
        <v>25</v>
      </c>
      <c r="K20" s="34" t="n">
        <f aca="false">H20*IF($D20="USD",Assumptions!$B$6*(1+Assumptions!$B$8),1)/IF($E20="year",12,1)</f>
        <v>40</v>
      </c>
      <c r="L20" s="21" t="s">
        <v>463</v>
      </c>
    </row>
    <row r="21" customFormat="false" ht="15" hidden="false" customHeight="true" outlineLevel="0" collapsed="false">
      <c r="A21" s="6" t="s">
        <v>464</v>
      </c>
      <c r="B21" s="6" t="s">
        <v>458</v>
      </c>
      <c r="C21" s="61" t="s">
        <v>93</v>
      </c>
      <c r="D21" s="62" t="s">
        <v>401</v>
      </c>
      <c r="E21" s="62" t="s">
        <v>324</v>
      </c>
      <c r="F21" s="65" t="n">
        <v>100</v>
      </c>
      <c r="G21" s="65" t="n">
        <v>100</v>
      </c>
      <c r="H21" s="65" t="n">
        <v>200</v>
      </c>
      <c r="I21" s="34" t="n">
        <f aca="false">F21*IF($D21="USD",Assumptions!$B$6*(1+Assumptions!$B$8),1)/IF($E21="year",12,1)</f>
        <v>104.06</v>
      </c>
      <c r="J21" s="34" t="n">
        <f aca="false">G21*IF($D21="USD",Assumptions!$B$6*(1+Assumptions!$B$8),1)/IF($E21="year",12,1)</f>
        <v>104.06</v>
      </c>
      <c r="K21" s="34" t="n">
        <f aca="false">H21*IF($D21="USD",Assumptions!$B$6*(1+Assumptions!$B$8),1)/IF($E21="year",12,1)</f>
        <v>208.12</v>
      </c>
      <c r="L21" s="21" t="s">
        <v>465</v>
      </c>
    </row>
    <row r="22" customFormat="false" ht="15" hidden="false" customHeight="true" outlineLevel="0" collapsed="false">
      <c r="A22" s="6" t="s">
        <v>466</v>
      </c>
      <c r="B22" s="6" t="s">
        <v>413</v>
      </c>
      <c r="C22" s="61" t="s">
        <v>387</v>
      </c>
      <c r="D22" s="62" t="s">
        <v>378</v>
      </c>
      <c r="E22" s="62" t="s">
        <v>324</v>
      </c>
      <c r="F22" s="63" t="n">
        <v>0</v>
      </c>
      <c r="G22" s="63" t="n">
        <v>200</v>
      </c>
      <c r="H22" s="63" t="n">
        <v>1000</v>
      </c>
      <c r="I22" s="34" t="n">
        <f aca="false">F22*IF($D22="USD",Assumptions!$B$6*(1+Assumptions!$B$8),1)/IF($E22="year",12,1)</f>
        <v>0</v>
      </c>
      <c r="J22" s="34" t="n">
        <f aca="false">G22*IF($D22="USD",Assumptions!$B$6*(1+Assumptions!$B$8),1)/IF($E22="year",12,1)</f>
        <v>200</v>
      </c>
      <c r="K22" s="34" t="n">
        <f aca="false">H22*IF($D22="USD",Assumptions!$B$6*(1+Assumptions!$B$8),1)/IF($E22="year",12,1)</f>
        <v>1000</v>
      </c>
      <c r="L22" s="21" t="s">
        <v>467</v>
      </c>
    </row>
    <row r="24" customFormat="false" ht="15" hidden="false" customHeight="true" outlineLevel="0" collapsed="false">
      <c r="A24" s="8" t="s">
        <v>468</v>
      </c>
      <c r="I24" s="64" t="n">
        <f aca="false">SUMIFS(I5:I22,$C$5:$C$22,"Y")</f>
        <v>232.68245</v>
      </c>
      <c r="J24" s="64" t="n">
        <f aca="false">SUMIFS(J5:J22,$C$5:$C$22,"Y")</f>
        <v>355.32145</v>
      </c>
      <c r="K24" s="64" t="n">
        <f aca="false">SUMIFS(K5:K22,$C$5:$C$22,"Y")</f>
        <v>736.5767</v>
      </c>
    </row>
    <row r="25" customFormat="false" ht="15" hidden="false" customHeight="true" outlineLevel="0" collapsed="false">
      <c r="A25" s="8" t="s">
        <v>469</v>
      </c>
      <c r="I25" s="64" t="n">
        <f aca="false">I24*12</f>
        <v>2792.1894</v>
      </c>
      <c r="J25" s="64" t="n">
        <f aca="false">J24*12</f>
        <v>4263.8574</v>
      </c>
      <c r="K25" s="64" t="n">
        <f aca="false">K24*12</f>
        <v>8838.9204</v>
      </c>
    </row>
    <row r="26" customFormat="false" ht="15" hidden="false" customHeight="true" outlineLevel="0" collapsed="false">
      <c r="A26" s="8" t="s">
        <v>470</v>
      </c>
      <c r="I26" s="64" t="n">
        <f aca="false">SUM(I5:I22)</f>
        <v>236.32455</v>
      </c>
      <c r="J26" s="64" t="n">
        <f aca="false">SUM(J5:J22)</f>
        <v>587.60565</v>
      </c>
      <c r="K26" s="64" t="n">
        <f aca="false">SUM(K5:K22)</f>
        <v>1791.1451</v>
      </c>
    </row>
    <row r="28" customFormat="false" ht="15" hidden="false" customHeight="true" outlineLevel="0" collapsed="false">
      <c r="A28" s="31" t="s">
        <v>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4296875" defaultRowHeight="15"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19" min="3" style="1" width="13"/>
  </cols>
  <sheetData>
    <row r="1" customFormat="false" ht="17.25" hidden="false" customHeight="true" outlineLevel="0" collapsed="false">
      <c r="A1" s="2" t="s">
        <v>472</v>
      </c>
    </row>
    <row r="2" customFormat="false" ht="15" hidden="false" customHeight="true" outlineLevel="0" collapsed="false">
      <c r="A2" s="3" t="s">
        <v>473</v>
      </c>
    </row>
    <row r="4" customFormat="false" ht="57.75" hidden="false" customHeight="true" outlineLevel="0" collapsed="false">
      <c r="A4" s="19" t="s">
        <v>169</v>
      </c>
      <c r="B4" s="19" t="s">
        <v>170</v>
      </c>
      <c r="C4" s="19" t="s">
        <v>474</v>
      </c>
      <c r="D4" s="19" t="s">
        <v>475</v>
      </c>
      <c r="E4" s="19" t="s">
        <v>476</v>
      </c>
      <c r="F4" s="19" t="s">
        <v>477</v>
      </c>
      <c r="G4" s="19" t="s">
        <v>478</v>
      </c>
      <c r="H4" s="19" t="s">
        <v>479</v>
      </c>
      <c r="I4" s="19" t="s">
        <v>480</v>
      </c>
      <c r="J4" s="19" t="s">
        <v>481</v>
      </c>
      <c r="K4" s="19" t="s">
        <v>482</v>
      </c>
      <c r="L4" s="19" t="s">
        <v>483</v>
      </c>
      <c r="M4" s="19" t="s">
        <v>484</v>
      </c>
      <c r="N4" s="19" t="s">
        <v>485</v>
      </c>
      <c r="O4" s="19" t="s">
        <v>486</v>
      </c>
      <c r="P4" s="19" t="s">
        <v>487</v>
      </c>
      <c r="Q4" s="19" t="s">
        <v>488</v>
      </c>
      <c r="R4" s="19" t="s">
        <v>489</v>
      </c>
      <c r="S4" s="19" t="s">
        <v>490</v>
      </c>
    </row>
    <row r="5" customFormat="false" ht="15" hidden="false" customHeight="true" outlineLevel="0" collapsed="false">
      <c r="A5" s="6" t="s">
        <v>177</v>
      </c>
      <c r="B5" s="6" t="s">
        <v>178</v>
      </c>
      <c r="C5" s="7" t="n">
        <f aca="false">Assumptions!$B$10*Pricing!$D$39</f>
        <v>4.4411</v>
      </c>
      <c r="D5" s="62" t="n">
        <v>1</v>
      </c>
      <c r="E5" s="66" t="n">
        <f aca="false">1/D5</f>
        <v>1</v>
      </c>
      <c r="F5" s="34" t="n">
        <f aca="false">C5/D5</f>
        <v>4.4411</v>
      </c>
      <c r="G5" s="34" t="n">
        <f aca="false">F5-H5</f>
        <v>0.770769421487603</v>
      </c>
      <c r="H5" s="34" t="n">
        <f aca="false">F5/(1+Assumptions!$B$7)</f>
        <v>3.6703305785124</v>
      </c>
      <c r="I5" s="34" t="n">
        <f aca="false">H5*Assumptions!$B$21</f>
        <v>0.55054958677686</v>
      </c>
      <c r="J5" s="34" t="n">
        <f aca="false">F5*(Assumptions!$B$22+Assumptions!$B$24)+Assumptions!$B$23*E5</f>
        <v>0.3477042</v>
      </c>
      <c r="K5" s="34" t="n">
        <f aca="false">Assumptions!$B$19*I5+(1-Assumptions!$B$19)*J5</f>
        <v>0.469411432066116</v>
      </c>
      <c r="L5" s="34" t="n">
        <f aca="false">H5-K5</f>
        <v>3.20091914644628</v>
      </c>
      <c r="M5" s="34" t="n">
        <f aca="false">Assumptions!$B$31*Assumptions!$B$6*(1+Assumptions!$B$8)</f>
        <v>0.280962</v>
      </c>
      <c r="N5" s="34" t="n">
        <f aca="false">Assumptions!$B$36</f>
        <v>0.02</v>
      </c>
      <c r="O5" s="34" t="n">
        <f aca="false">L5-M5-N5</f>
        <v>2.89995714644628</v>
      </c>
      <c r="P5" s="35" t="n">
        <f aca="false">IF(F5=0,0,O5/F5)</f>
        <v>0.652981726699755</v>
      </c>
      <c r="Q5" s="34" t="n">
        <f aca="false">Assumptions!$B$32*Assumptions!$B$6*(1+Assumptions!$B$8)</f>
        <v>2.49744</v>
      </c>
      <c r="R5" s="34" t="n">
        <f aca="false">L5-Q5-N5</f>
        <v>0.683479146446281</v>
      </c>
    </row>
    <row r="6" customFormat="false" ht="15" hidden="false" customHeight="true" outlineLevel="0" collapsed="false">
      <c r="A6" s="6" t="s">
        <v>177</v>
      </c>
      <c r="B6" s="6" t="s">
        <v>179</v>
      </c>
      <c r="C6" s="7" t="n">
        <f aca="false">Assumptions!$B$11*Pricing!$D$39*(1-Assumptions!$B$53*Assumptions!$B$52)</f>
        <v>31.14377</v>
      </c>
      <c r="D6" s="62" t="n">
        <v>12</v>
      </c>
      <c r="E6" s="66" t="n">
        <f aca="false">1/D6</f>
        <v>0.0833333333333333</v>
      </c>
      <c r="F6" s="34" t="n">
        <f aca="false">C6/D6</f>
        <v>2.59531416666667</v>
      </c>
      <c r="G6" s="34" t="n">
        <f aca="false">F6-H6</f>
        <v>0.450426425619835</v>
      </c>
      <c r="H6" s="34" t="n">
        <f aca="false">F6/(1+Assumptions!$B$7)</f>
        <v>2.14488774104683</v>
      </c>
      <c r="I6" s="34" t="n">
        <f aca="false">H6*Assumptions!$B$21</f>
        <v>0.321733161157025</v>
      </c>
      <c r="J6" s="34" t="n">
        <f aca="false">F6*(Assumptions!$B$22+Assumptions!$B$24)+Assumptions!$B$23*E6</f>
        <v>0.077930245</v>
      </c>
      <c r="K6" s="34" t="n">
        <f aca="false">Assumptions!$B$19*I6+(1-Assumptions!$B$19)*J6</f>
        <v>0.224211994694215</v>
      </c>
      <c r="L6" s="34" t="n">
        <f aca="false">H6-K6</f>
        <v>1.92067574635262</v>
      </c>
      <c r="M6" s="34" t="n">
        <f aca="false">Assumptions!$B$31*Assumptions!$B$6*(1+Assumptions!$B$8)</f>
        <v>0.280962</v>
      </c>
      <c r="N6" s="34" t="n">
        <f aca="false">Assumptions!$B$36</f>
        <v>0.02</v>
      </c>
      <c r="O6" s="34" t="n">
        <f aca="false">L6-M6-N6-$C$35</f>
        <v>1.61093568801928</v>
      </c>
      <c r="P6" s="35" t="n">
        <f aca="false">IF(F6=0,0,O6/F6)</f>
        <v>0.620709318628779</v>
      </c>
      <c r="Q6" s="34" t="n">
        <f aca="false">Assumptions!$B$32*Assumptions!$B$6*(1+Assumptions!$B$8)</f>
        <v>2.49744</v>
      </c>
      <c r="R6" s="34" t="n">
        <f aca="false">L6-Q6-N6-$C$35</f>
        <v>-0.605542311980717</v>
      </c>
      <c r="S6" s="35" t="n">
        <f aca="false">1-C6/(12*C5)</f>
        <v>0.41561456245825</v>
      </c>
    </row>
    <row r="7" customFormat="false" ht="15" hidden="false" customHeight="true" outlineLevel="0" collapsed="false">
      <c r="A7" s="6" t="s">
        <v>180</v>
      </c>
      <c r="B7" s="6" t="s">
        <v>178</v>
      </c>
      <c r="C7" s="7" t="n">
        <f aca="false">Assumptions!$B$12*Pricing!$E$39</f>
        <v>7.1111</v>
      </c>
      <c r="D7" s="62" t="n">
        <v>1</v>
      </c>
      <c r="E7" s="66" t="n">
        <f aca="false">1/D7</f>
        <v>1</v>
      </c>
      <c r="F7" s="34" t="n">
        <f aca="false">C7/D7</f>
        <v>7.1111</v>
      </c>
      <c r="G7" s="34" t="n">
        <f aca="false">F7-H7</f>
        <v>1.23415785123967</v>
      </c>
      <c r="H7" s="34" t="n">
        <f aca="false">F7/(1+Assumptions!$B$7)</f>
        <v>5.87694214876033</v>
      </c>
      <c r="I7" s="34" t="n">
        <f aca="false">H7*Assumptions!$B$21</f>
        <v>0.88154132231405</v>
      </c>
      <c r="J7" s="34" t="n">
        <f aca="false">F7*(Assumptions!$B$22+Assumptions!$B$24)+Assumptions!$B$23*E7</f>
        <v>0.4064442</v>
      </c>
      <c r="K7" s="34" t="n">
        <f aca="false">Assumptions!$B$19*I7+(1-Assumptions!$B$19)*J7</f>
        <v>0.69150247338843</v>
      </c>
      <c r="L7" s="34" t="n">
        <f aca="false">H7-K7</f>
        <v>5.1854396753719</v>
      </c>
      <c r="M7" s="34" t="n">
        <f aca="false">Assumptions!$B$33*Assumptions!$B$6*(1+Assumptions!$B$8)</f>
        <v>0.457864</v>
      </c>
      <c r="N7" s="34" t="n">
        <f aca="false">Assumptions!$B$36</f>
        <v>0.02</v>
      </c>
      <c r="O7" s="34" t="n">
        <f aca="false">L7-M7-N7</f>
        <v>4.7075756753719</v>
      </c>
      <c r="P7" s="35" t="n">
        <f aca="false">IF(F7=0,0,O7/F7)</f>
        <v>0.662003863730211</v>
      </c>
      <c r="Q7" s="34" t="n">
        <f aca="false">Assumptions!$B$34*Assumptions!$B$6*(1+Assumptions!$B$8)</f>
        <v>3.1218</v>
      </c>
      <c r="R7" s="34" t="n">
        <f aca="false">L7-Q7-N7</f>
        <v>2.0436396753719</v>
      </c>
    </row>
    <row r="8" customFormat="false" ht="15" hidden="false" customHeight="true" outlineLevel="0" collapsed="false">
      <c r="A8" s="6" t="s">
        <v>180</v>
      </c>
      <c r="B8" s="6" t="s">
        <v>179</v>
      </c>
      <c r="C8" s="7" t="n">
        <f aca="false">Assumptions!$B$13*Pricing!$E$39*(1-Assumptions!$B$53*Assumptions!$B$52)</f>
        <v>37.37377</v>
      </c>
      <c r="D8" s="62" t="n">
        <v>12</v>
      </c>
      <c r="E8" s="66" t="n">
        <f aca="false">1/D8</f>
        <v>0.0833333333333333</v>
      </c>
      <c r="F8" s="34" t="n">
        <f aca="false">C8/D8</f>
        <v>3.11448083333333</v>
      </c>
      <c r="G8" s="34" t="n">
        <f aca="false">F8-H8</f>
        <v>0.540529731404959</v>
      </c>
      <c r="H8" s="34" t="n">
        <f aca="false">F8/(1+Assumptions!$B$7)</f>
        <v>2.57395110192837</v>
      </c>
      <c r="I8" s="34" t="n">
        <f aca="false">H8*Assumptions!$B$21</f>
        <v>0.386092665289256</v>
      </c>
      <c r="J8" s="34" t="n">
        <f aca="false">F8*(Assumptions!$B$22+Assumptions!$B$24)+Assumptions!$B$23*E8</f>
        <v>0.0893519116666666</v>
      </c>
      <c r="K8" s="34" t="n">
        <f aca="false">Assumptions!$B$19*I8+(1-Assumptions!$B$19)*J8</f>
        <v>0.26739636384022</v>
      </c>
      <c r="L8" s="34" t="n">
        <f aca="false">H8-K8</f>
        <v>2.30655473808815</v>
      </c>
      <c r="M8" s="34" t="n">
        <f aca="false">Assumptions!$B$33*Assumptions!$B$6*(1+Assumptions!$B$8)</f>
        <v>0.457864</v>
      </c>
      <c r="N8" s="34" t="n">
        <f aca="false">Assumptions!$B$36</f>
        <v>0.02</v>
      </c>
      <c r="O8" s="34" t="n">
        <f aca="false">L8-M8-N8-$C$36</f>
        <v>1.81475303808815</v>
      </c>
      <c r="P8" s="35" t="n">
        <f aca="false">IF(F8=0,0,O8/F8)</f>
        <v>0.58268235869857</v>
      </c>
      <c r="Q8" s="34" t="n">
        <f aca="false">Assumptions!$B$34*Assumptions!$B$6*(1+Assumptions!$B$8)</f>
        <v>3.1218</v>
      </c>
      <c r="R8" s="34" t="n">
        <f aca="false">L8-Q8-N8-$C$36</f>
        <v>-0.849182961911846</v>
      </c>
      <c r="S8" s="35" t="n">
        <f aca="false">1-C8/(12*C7)</f>
        <v>0.562025448477263</v>
      </c>
    </row>
    <row r="10" customFormat="false" ht="15" hidden="false" customHeight="true" outlineLevel="0" collapsed="false">
      <c r="A10" s="8" t="s">
        <v>491</v>
      </c>
    </row>
    <row r="11" customFormat="false" ht="15" hidden="false" customHeight="true" outlineLevel="0" collapsed="false">
      <c r="A11" s="8" t="s">
        <v>177</v>
      </c>
      <c r="B11" s="8" t="s">
        <v>492</v>
      </c>
      <c r="F11" s="44" t="n">
        <f aca="false">(1-Assumptions!$B$17)*F5+Assumptions!$B$17*F6</f>
        <v>3.14904991666667</v>
      </c>
      <c r="G11" s="44" t="n">
        <f aca="false">(1-Assumptions!$B$17)*G5+Assumptions!$B$17*G6</f>
        <v>0.546529324380165</v>
      </c>
      <c r="H11" s="44" t="n">
        <f aca="false">(1-Assumptions!$B$17)*H5+Assumptions!$B$17*H6</f>
        <v>2.6025205922865</v>
      </c>
      <c r="K11" s="44" t="n">
        <f aca="false">(1-Assumptions!$B$17)*K5+Assumptions!$B$17*K6</f>
        <v>0.297771825905785</v>
      </c>
      <c r="L11" s="44" t="n">
        <f aca="false">(1-Assumptions!$B$17)*L5+Assumptions!$B$17*L6</f>
        <v>2.30474876638072</v>
      </c>
      <c r="M11" s="44" t="n">
        <f aca="false">(1-Assumptions!$B$17)*M5+Assumptions!$B$17*M6</f>
        <v>0.280962</v>
      </c>
      <c r="N11" s="44" t="n">
        <f aca="false">(1-Assumptions!$B$17)*N5+Assumptions!$B$17*N6</f>
        <v>0.02</v>
      </c>
      <c r="O11" s="44" t="n">
        <f aca="false">(1-Assumptions!$B$17)*O5+Assumptions!$B$17*O6</f>
        <v>1.99764212554738</v>
      </c>
      <c r="P11" s="40" t="n">
        <f aca="false">IF(F11=0,0,O11/F11)</f>
        <v>0.634363436087392</v>
      </c>
      <c r="Q11" s="44" t="n">
        <f aca="false">(1-Assumptions!$B$17)*Q5+Assumptions!$B$17*Q6</f>
        <v>2.49744</v>
      </c>
      <c r="R11" s="44" t="n">
        <f aca="false">(1-Assumptions!$B$17)*R5+Assumptions!$B$17*R6</f>
        <v>-0.218835874452617</v>
      </c>
    </row>
    <row r="12" customFormat="false" ht="15" hidden="false" customHeight="true" outlineLevel="0" collapsed="false">
      <c r="A12" s="8" t="s">
        <v>180</v>
      </c>
      <c r="B12" s="8" t="s">
        <v>492</v>
      </c>
      <c r="F12" s="44" t="n">
        <f aca="false">(1-Assumptions!$B$18)*F7+Assumptions!$B$18*F8</f>
        <v>5.312621375</v>
      </c>
      <c r="G12" s="44" t="n">
        <f aca="false">(1-Assumptions!$B$18)*G7+Assumptions!$B$18*G8</f>
        <v>0.92202519731405</v>
      </c>
      <c r="H12" s="44" t="n">
        <f aca="false">(1-Assumptions!$B$18)*H7+Assumptions!$B$18*H8</f>
        <v>4.39059617768595</v>
      </c>
      <c r="K12" s="44" t="n">
        <f aca="false">(1-Assumptions!$B$18)*K7+Assumptions!$B$18*K8</f>
        <v>0.500654724091736</v>
      </c>
      <c r="L12" s="44" t="n">
        <f aca="false">(1-Assumptions!$B$18)*L7+Assumptions!$B$18*L8</f>
        <v>3.88994145359421</v>
      </c>
      <c r="M12" s="44" t="n">
        <f aca="false">(1-Assumptions!$B$18)*M7+Assumptions!$B$18*M8</f>
        <v>0.457864</v>
      </c>
      <c r="N12" s="44" t="n">
        <f aca="false">(1-Assumptions!$B$18)*N7+Assumptions!$B$18*N8</f>
        <v>0.02</v>
      </c>
      <c r="O12" s="44" t="n">
        <f aca="false">(1-Assumptions!$B$18)*O7+Assumptions!$B$18*O8</f>
        <v>3.40580548859422</v>
      </c>
      <c r="P12" s="40" t="n">
        <f aca="false">IF(F12=0,0,O12/F12)</f>
        <v>0.6410781511028</v>
      </c>
      <c r="Q12" s="44" t="n">
        <f aca="false">(1-Assumptions!$B$18)*Q7+Assumptions!$B$18*Q8</f>
        <v>3.1218</v>
      </c>
      <c r="R12" s="44" t="n">
        <f aca="false">(1-Assumptions!$B$18)*R7+Assumptions!$B$18*R8</f>
        <v>0.741869488594215</v>
      </c>
    </row>
    <row r="13" customFormat="false" ht="15" hidden="false" customHeight="true" outlineLevel="0" collapsed="false">
      <c r="A13" s="8" t="s">
        <v>493</v>
      </c>
      <c r="B13" s="8" t="s">
        <v>492</v>
      </c>
      <c r="F13" s="44" t="n">
        <f aca="false">IF((Assumptions!$B$15+Assumptions!$B$16)=0,0,Assumptions!$B$15/(Assumptions!$B$15+Assumptions!$B$16)*F11+(1-Assumptions!$B$15/(Assumptions!$B$15+Assumptions!$B$16))*F12)</f>
        <v>3.54242654545455</v>
      </c>
      <c r="G13" s="44" t="n">
        <f aca="false">IF((Assumptions!$B$15+Assumptions!$B$16)=0,0,Assumptions!$B$15/(Assumptions!$B$15+Assumptions!$B$16)*G11+(1-Assumptions!$B$15/(Assumptions!$B$15+Assumptions!$B$16))*G12)</f>
        <v>0.614801301277235</v>
      </c>
      <c r="H13" s="44" t="n">
        <f aca="false">IF((Assumptions!$B$15+Assumptions!$B$16)=0,0,Assumptions!$B$15/(Assumptions!$B$15+Assumptions!$B$16)*H11+(1-Assumptions!$B$15/(Assumptions!$B$15+Assumptions!$B$16))*H12)</f>
        <v>2.92762524417731</v>
      </c>
      <c r="K13" s="44" t="n">
        <f aca="false">IF((Assumptions!$B$15+Assumptions!$B$16)=0,0,Assumptions!$B$15/(Assumptions!$B$15+Assumptions!$B$16)*K11+(1-Assumptions!$B$15/(Assumptions!$B$15+Assumptions!$B$16))*K12)</f>
        <v>0.334659625575958</v>
      </c>
      <c r="L13" s="44" t="n">
        <f aca="false">IF((Assumptions!$B$15+Assumptions!$B$16)=0,0,Assumptions!$B$15/(Assumptions!$B$15+Assumptions!$B$16)*L11+(1-Assumptions!$B$15/(Assumptions!$B$15+Assumptions!$B$16))*L12)</f>
        <v>2.59296561860135</v>
      </c>
      <c r="M13" s="44" t="n">
        <f aca="false">IF((Assumptions!$B$15+Assumptions!$B$16)=0,0,Assumptions!$B$15/(Assumptions!$B$15+Assumptions!$B$16)*M11+(1-Assumptions!$B$15/(Assumptions!$B$15+Assumptions!$B$16))*M12)</f>
        <v>0.313126</v>
      </c>
      <c r="N13" s="44" t="n">
        <f aca="false">IF((Assumptions!$B$15+Assumptions!$B$16)=0,0,Assumptions!$B$15/(Assumptions!$B$15+Assumptions!$B$16)*N11+(1-Assumptions!$B$15/(Assumptions!$B$15+Assumptions!$B$16))*N12)</f>
        <v>0.02</v>
      </c>
      <c r="O13" s="44" t="n">
        <f aca="false">IF((Assumptions!$B$15+Assumptions!$B$16)=0,0,Assumptions!$B$15/(Assumptions!$B$15+Assumptions!$B$16)*O11+(1-Assumptions!$B$15/(Assumptions!$B$15+Assumptions!$B$16))*O12)</f>
        <v>2.25367182791953</v>
      </c>
      <c r="P13" s="40" t="n">
        <f aca="false">IF(F13=0,0,O13/F13)</f>
        <v>0.636194371005752</v>
      </c>
      <c r="Q13" s="44" t="n">
        <f aca="false">IF((Assumptions!$B$15+Assumptions!$B$16)=0,0,Assumptions!$B$15/(Assumptions!$B$15+Assumptions!$B$16)*Q11+(1-Assumptions!$B$15/(Assumptions!$B$15+Assumptions!$B$16))*Q12)</f>
        <v>2.61096</v>
      </c>
      <c r="R13" s="44" t="n">
        <f aca="false">IF((Assumptions!$B$15+Assumptions!$B$16)=0,0,Assumptions!$B$15/(Assumptions!$B$15+Assumptions!$B$16)*R11+(1-Assumptions!$B$15/(Assumptions!$B$15+Assumptions!$B$16))*R12)</f>
        <v>-0.0441621720804661</v>
      </c>
    </row>
    <row r="15" customFormat="false" ht="15" hidden="false" customHeight="true" outlineLevel="0" collapsed="false">
      <c r="A15" s="4" t="s">
        <v>494</v>
      </c>
      <c r="B15" s="5"/>
      <c r="C15" s="5"/>
      <c r="D15" s="5"/>
      <c r="E15" s="5"/>
      <c r="F15" s="5"/>
      <c r="G15" s="5"/>
    </row>
    <row r="16" customFormat="false" ht="26.25" hidden="false" customHeight="true" outlineLevel="0" collapsed="false">
      <c r="A16" s="19" t="s">
        <v>495</v>
      </c>
      <c r="B16" s="19"/>
      <c r="C16" s="19" t="s">
        <v>496</v>
      </c>
      <c r="D16" s="19" t="s">
        <v>478</v>
      </c>
      <c r="E16" s="19" t="s">
        <v>497</v>
      </c>
      <c r="F16" s="19" t="s">
        <v>498</v>
      </c>
      <c r="G16" s="19" t="s">
        <v>499</v>
      </c>
    </row>
    <row r="17" customFormat="false" ht="15" hidden="false" customHeight="true" outlineLevel="0" collapsed="false">
      <c r="A17" s="6" t="s">
        <v>500</v>
      </c>
      <c r="C17" s="34" t="n">
        <f aca="false">C6</f>
        <v>31.14377</v>
      </c>
      <c r="D17" s="34" t="n">
        <f aca="false">C6-C6/(1+Assumptions!$B$7)</f>
        <v>5.40511710743802</v>
      </c>
      <c r="E17" s="34" t="n">
        <f aca="false">C6/(1+Assumptions!$B$7)*Assumptions!$B$21</f>
        <v>3.8607979338843</v>
      </c>
      <c r="F17" s="43" t="n">
        <f aca="false">C17-D17-E17</f>
        <v>21.8778549586777</v>
      </c>
      <c r="G17" s="35" t="n">
        <f aca="false">IF(C17=0,0,F17/C17)</f>
        <v>0.702479338842975</v>
      </c>
    </row>
    <row r="18" customFormat="false" ht="15" hidden="false" customHeight="true" outlineLevel="0" collapsed="false">
      <c r="A18" s="6" t="s">
        <v>501</v>
      </c>
      <c r="C18" s="34" t="n">
        <f aca="false">C6</f>
        <v>31.14377</v>
      </c>
      <c r="D18" s="34" t="n">
        <f aca="false">C6-C6/(1+Assumptions!$B$7)</f>
        <v>5.40511710743802</v>
      </c>
      <c r="E18" s="34" t="n">
        <f aca="false">C6*(Assumptions!$B$22+Assumptions!$B$24)+Assumptions!$B$23</f>
        <v>0.93516294</v>
      </c>
      <c r="F18" s="43" t="n">
        <f aca="false">C18-D18-E18</f>
        <v>24.803489952562</v>
      </c>
      <c r="G18" s="35" t="n">
        <f aca="false">IF(C18=0,0,F18/C18)</f>
        <v>0.796418993351222</v>
      </c>
    </row>
    <row r="19" customFormat="false" ht="15" hidden="false" customHeight="true" outlineLevel="0" collapsed="false">
      <c r="A19" s="6" t="s">
        <v>502</v>
      </c>
      <c r="C19" s="34" t="n">
        <f aca="false">C6</f>
        <v>31.14377</v>
      </c>
      <c r="D19" s="34" t="n">
        <f aca="false">0</f>
        <v>0</v>
      </c>
      <c r="E19" s="34" t="n">
        <f aca="false">C6*(Assumptions!$B$22+Assumptions!$B$24)+Assumptions!$B$23</f>
        <v>0.93516294</v>
      </c>
      <c r="F19" s="43" t="n">
        <f aca="false">C19-D19-E19</f>
        <v>30.20860706</v>
      </c>
      <c r="G19" s="35" t="n">
        <f aca="false">IF(C19=0,0,F19/C19)</f>
        <v>0.969972712359486</v>
      </c>
    </row>
    <row r="21" customFormat="false" ht="15" hidden="false" customHeight="true" outlineLevel="0" collapsed="false">
      <c r="A21" s="4" t="s">
        <v>503</v>
      </c>
      <c r="B21" s="5"/>
      <c r="C21" s="5"/>
      <c r="D21" s="5"/>
      <c r="E21" s="5"/>
      <c r="F21" s="5"/>
      <c r="G21" s="5"/>
    </row>
    <row r="22" customFormat="false" ht="26.25" hidden="false" customHeight="true" outlineLevel="0" collapsed="false">
      <c r="A22" s="19" t="s">
        <v>504</v>
      </c>
      <c r="B22" s="19"/>
      <c r="C22" s="19" t="s">
        <v>505</v>
      </c>
      <c r="D22" s="19" t="s">
        <v>20</v>
      </c>
      <c r="E22" s="19" t="s">
        <v>506</v>
      </c>
      <c r="F22" s="19" t="s">
        <v>507</v>
      </c>
      <c r="G22" s="19"/>
    </row>
    <row r="23" customFormat="false" ht="15" hidden="false" customHeight="true" outlineLevel="0" collapsed="false">
      <c r="A23" s="6" t="s">
        <v>420</v>
      </c>
      <c r="C23" s="7" t="n">
        <f aca="false">'Fixed costs'!$I$24</f>
        <v>232.68245</v>
      </c>
      <c r="D23" s="17" t="n">
        <f aca="false">IF(ISNUMBER(E23),ROUNDUP(E23*(Assumptions!$B$15+Assumptions!$B$16),0),"never")</f>
        <v>100</v>
      </c>
      <c r="E23" s="17" t="n">
        <f aca="false">IF(F23&lt;=0,"never",ROUNDUP(C23/F23,0))</f>
        <v>1801</v>
      </c>
      <c r="F23" s="34" t="n">
        <f aca="false">(Assumptions!$B$15*$O$11+Assumptions!$B$16*$O$12)+(1-Assumptions!$B$15-Assumptions!$B$16)*(Assumptions!$B$54*Assumptions!$B$56*'Credit shop'!$G$22-$C$29)+Assumptions!$B$15*Assumptions!$B$55*Assumptions!$B$56*'Credit shop'!$G$22</f>
        <v>0.129229893273426</v>
      </c>
    </row>
    <row r="24" customFormat="false" ht="15" hidden="false" customHeight="true" outlineLevel="0" collapsed="false">
      <c r="A24" s="6" t="s">
        <v>421</v>
      </c>
      <c r="C24" s="7" t="n">
        <f aca="false">'Fixed costs'!$J$24</f>
        <v>355.32145</v>
      </c>
      <c r="D24" s="17" t="n">
        <f aca="false">IF(ISNUMBER(E24),ROUNDUP(E24*(Assumptions!$B$15+Assumptions!$B$16),0),"never")</f>
        <v>152</v>
      </c>
      <c r="E24" s="17" t="n">
        <f aca="false">IF(F24&lt;=0,"never",ROUNDUP(C24/F24,0))</f>
        <v>2750</v>
      </c>
      <c r="F24" s="34" t="n">
        <f aca="false">(Assumptions!$B$15*$O$11+Assumptions!$B$16*$O$12)+(1-Assumptions!$B$15-Assumptions!$B$16)*(Assumptions!$B$54*Assumptions!$B$56*'Credit shop'!$G$22-$C$29)+Assumptions!$B$15*Assumptions!$B$55*Assumptions!$B$56*'Credit shop'!$G$22</f>
        <v>0.129229893273426</v>
      </c>
    </row>
    <row r="25" customFormat="false" ht="15" hidden="false" customHeight="true" outlineLevel="0" collapsed="false">
      <c r="A25" s="6" t="s">
        <v>422</v>
      </c>
      <c r="C25" s="7" t="n">
        <f aca="false">'Fixed costs'!$K$24</f>
        <v>736.5767</v>
      </c>
      <c r="D25" s="17" t="n">
        <f aca="false">IF(ISNUMBER(E25),ROUNDUP(E25*(Assumptions!$B$15+Assumptions!$B$16),0),"never")</f>
        <v>314</v>
      </c>
      <c r="E25" s="17" t="n">
        <f aca="false">IF(F25&lt;=0,"never",ROUNDUP(C25/F25,0))</f>
        <v>5700</v>
      </c>
      <c r="F25" s="34" t="n">
        <f aca="false">(Assumptions!$B$15*$O$11+Assumptions!$B$16*$O$12)+(1-Assumptions!$B$15-Assumptions!$B$16)*(Assumptions!$B$54*Assumptions!$B$56*'Credit shop'!$G$22-$C$29)+Assumptions!$B$15*Assumptions!$B$55*Assumptions!$B$56*'Credit shop'!$G$22</f>
        <v>0.129229893273426</v>
      </c>
    </row>
    <row r="27" customFormat="false" ht="15" hidden="false" customHeight="true" outlineLevel="0" collapsed="false">
      <c r="A27" s="31" t="s">
        <v>508</v>
      </c>
    </row>
    <row r="29" customFormat="false" ht="15" hidden="false" customHeight="true" outlineLevel="0" collapsed="false">
      <c r="A29" s="8" t="s">
        <v>509</v>
      </c>
      <c r="C29" s="43" t="n">
        <f aca="false">Assumptions!$B$35+C30</f>
        <v>0.030812</v>
      </c>
    </row>
    <row r="30" customFormat="false" ht="15" hidden="false" customHeight="false" outlineLevel="0" collapsed="false">
      <c r="A30" s="6" t="s">
        <v>510</v>
      </c>
      <c r="C30" s="34" t="n">
        <f aca="false">Assumptions!$B$49*Assumptions!$B$6*(1+Assumptions!$B$8)</f>
        <v>0.020812</v>
      </c>
    </row>
    <row r="32" customFormat="false" ht="15" hidden="false" customHeight="false" outlineLevel="0" collapsed="false">
      <c r="A32" s="8" t="s">
        <v>511</v>
      </c>
    </row>
    <row r="33" customFormat="false" ht="15" hidden="false" customHeight="false" outlineLevel="0" collapsed="false">
      <c r="A33" s="6" t="s">
        <v>512</v>
      </c>
      <c r="C33" s="30" t="n">
        <v>7</v>
      </c>
    </row>
    <row r="34" customFormat="false" ht="15" hidden="false" customHeight="false" outlineLevel="0" collapsed="false">
      <c r="A34" s="6" t="s">
        <v>513</v>
      </c>
      <c r="C34" s="34" t="n">
        <f aca="false">C33/30*(M6+N6)</f>
        <v>0.0702244666666667</v>
      </c>
      <c r="D34" s="34" t="n">
        <f aca="false">C33/30*(M8+N8)</f>
        <v>0.1115016</v>
      </c>
    </row>
    <row r="35" customFormat="false" ht="15" hidden="false" customHeight="false" outlineLevel="0" collapsed="false">
      <c r="A35" s="6" t="s">
        <v>514</v>
      </c>
      <c r="C35" s="34" t="n">
        <f aca="false">IF(Assumptions!$B$51=0,0,(1/Assumptions!$B$51-1)*C34/12)</f>
        <v>0.00877805833333333</v>
      </c>
    </row>
    <row r="36" customFormat="false" ht="15" hidden="false" customHeight="false" outlineLevel="0" collapsed="false">
      <c r="A36" s="6" t="s">
        <v>515</v>
      </c>
      <c r="C36" s="34" t="n">
        <f aca="false">IF(Assumptions!$B$51=0,0,(1/Assumptions!$B$51-1)*D34/12)</f>
        <v>0.0139377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zeroHeight="false" outlineLevelRow="0" outlineLevelCol="0"/>
  <cols>
    <col collapsed="false" customWidth="true" hidden="false" outlineLevel="0" max="1" min="1" style="1" width="54"/>
    <col collapsed="false" customWidth="true" hidden="false" outlineLevel="0" max="9" min="2" style="1" width="14"/>
  </cols>
  <sheetData>
    <row r="1" customFormat="false" ht="17.25" hidden="false" customHeight="true" outlineLevel="0" collapsed="false">
      <c r="A1" s="2" t="s">
        <v>516</v>
      </c>
    </row>
    <row r="2" customFormat="false" ht="15" hidden="false" customHeight="true" outlineLevel="0" collapsed="false">
      <c r="A2" s="3" t="s">
        <v>517</v>
      </c>
    </row>
    <row r="4" customFormat="false" ht="15" hidden="false" customHeight="true" outlineLevel="0" collapsed="false">
      <c r="A4" s="19" t="s">
        <v>518</v>
      </c>
      <c r="B4" s="19" t="s">
        <v>519</v>
      </c>
      <c r="C4" s="19" t="s">
        <v>520</v>
      </c>
      <c r="D4" s="19" t="s">
        <v>521</v>
      </c>
      <c r="E4" s="19" t="s">
        <v>522</v>
      </c>
      <c r="F4" s="19" t="s">
        <v>523</v>
      </c>
      <c r="G4" s="19" t="s">
        <v>524</v>
      </c>
      <c r="H4" s="19" t="s">
        <v>525</v>
      </c>
      <c r="I4" s="19" t="s">
        <v>526</v>
      </c>
    </row>
    <row r="5" customFormat="false" ht="15" hidden="false" customHeight="true" outlineLevel="0" collapsed="false">
      <c r="A5" s="6" t="s">
        <v>527</v>
      </c>
      <c r="B5" s="30" t="n">
        <v>100</v>
      </c>
      <c r="C5" s="30" t="n">
        <v>500</v>
      </c>
      <c r="D5" s="30" t="n">
        <v>1000</v>
      </c>
      <c r="E5" s="30" t="n">
        <v>2500</v>
      </c>
      <c r="F5" s="30" t="n">
        <v>5000</v>
      </c>
      <c r="G5" s="30" t="n">
        <v>10000</v>
      </c>
      <c r="H5" s="30" t="n">
        <v>25000</v>
      </c>
      <c r="I5" s="30" t="n">
        <v>50000</v>
      </c>
    </row>
    <row r="6" customFormat="false" ht="15" hidden="false" customHeight="true" outlineLevel="0" collapsed="false">
      <c r="A6" s="6" t="s">
        <v>528</v>
      </c>
      <c r="B6" s="67" t="n">
        <f aca="false">IF(B5&gt;=Assumptions!$B$39,3,IF(B5&gt;=Assumptions!$B$38,2,1))</f>
        <v>1</v>
      </c>
      <c r="C6" s="67" t="n">
        <f aca="false">IF(C5&gt;=Assumptions!$B$39,3,IF(C5&gt;=Assumptions!$B$38,2,1))</f>
        <v>1</v>
      </c>
      <c r="D6" s="67" t="n">
        <f aca="false">IF(D5&gt;=Assumptions!$B$39,3,IF(D5&gt;=Assumptions!$B$38,2,1))</f>
        <v>1</v>
      </c>
      <c r="E6" s="67" t="n">
        <f aca="false">IF(E5&gt;=Assumptions!$B$39,3,IF(E5&gt;=Assumptions!$B$38,2,1))</f>
        <v>2</v>
      </c>
      <c r="F6" s="67" t="n">
        <f aca="false">IF(F5&gt;=Assumptions!$B$39,3,IF(F5&gt;=Assumptions!$B$38,2,1))</f>
        <v>2</v>
      </c>
      <c r="G6" s="67" t="n">
        <f aca="false">IF(G5&gt;=Assumptions!$B$39,3,IF(G5&gt;=Assumptions!$B$38,2,1))</f>
        <v>2</v>
      </c>
      <c r="H6" s="67" t="n">
        <f aca="false">IF(H5&gt;=Assumptions!$B$39,3,IF(H5&gt;=Assumptions!$B$38,2,1))</f>
        <v>3</v>
      </c>
      <c r="I6" s="67" t="n">
        <f aca="false">IF(I5&gt;=Assumptions!$B$39,3,IF(I5&gt;=Assumptions!$B$38,2,1))</f>
        <v>3</v>
      </c>
    </row>
    <row r="7" customFormat="false" ht="15" hidden="false" customHeight="true" outlineLevel="0" collapsed="false">
      <c r="A7" s="6" t="s">
        <v>529</v>
      </c>
      <c r="B7" s="17" t="n">
        <f aca="false">B5-B8-B9</f>
        <v>94</v>
      </c>
      <c r="C7" s="17" t="n">
        <f aca="false">C5-C8-C9</f>
        <v>472</v>
      </c>
      <c r="D7" s="17" t="n">
        <f aca="false">D5-D8-D9</f>
        <v>945</v>
      </c>
      <c r="E7" s="17" t="n">
        <f aca="false">E5-E8-E9</f>
        <v>2362</v>
      </c>
      <c r="F7" s="17" t="n">
        <f aca="false">F5-F8-F9</f>
        <v>4725</v>
      </c>
      <c r="G7" s="17" t="n">
        <f aca="false">G5-G8-G9</f>
        <v>9450</v>
      </c>
      <c r="H7" s="17" t="n">
        <f aca="false">H5-H8-H9</f>
        <v>23625</v>
      </c>
      <c r="I7" s="17" t="n">
        <f aca="false">I5-I8-I9</f>
        <v>47250</v>
      </c>
    </row>
    <row r="8" customFormat="false" ht="15" hidden="false" customHeight="true" outlineLevel="0" collapsed="false">
      <c r="A8" s="6" t="s">
        <v>530</v>
      </c>
      <c r="B8" s="17" t="n">
        <f aca="false">ROUND(B5*Assumptions!$B$15,0)</f>
        <v>5</v>
      </c>
      <c r="C8" s="17" t="n">
        <f aca="false">ROUND(C5*Assumptions!$B$15,0)</f>
        <v>23</v>
      </c>
      <c r="D8" s="17" t="n">
        <f aca="false">ROUND(D5*Assumptions!$B$15,0)</f>
        <v>45</v>
      </c>
      <c r="E8" s="17" t="n">
        <f aca="false">ROUND(E5*Assumptions!$B$15,0)</f>
        <v>113</v>
      </c>
      <c r="F8" s="17" t="n">
        <f aca="false">ROUND(F5*Assumptions!$B$15,0)</f>
        <v>225</v>
      </c>
      <c r="G8" s="17" t="n">
        <f aca="false">ROUND(G5*Assumptions!$B$15,0)</f>
        <v>450</v>
      </c>
      <c r="H8" s="17" t="n">
        <f aca="false">ROUND(H5*Assumptions!$B$15,0)</f>
        <v>1125</v>
      </c>
      <c r="I8" s="17" t="n">
        <f aca="false">ROUND(I5*Assumptions!$B$15,0)</f>
        <v>2250</v>
      </c>
    </row>
    <row r="9" customFormat="false" ht="15" hidden="false" customHeight="true" outlineLevel="0" collapsed="false">
      <c r="A9" s="6" t="s">
        <v>531</v>
      </c>
      <c r="B9" s="17" t="n">
        <f aca="false">ROUND(B5*Assumptions!$B$16,0)</f>
        <v>1</v>
      </c>
      <c r="C9" s="17" t="n">
        <f aca="false">ROUND(C5*Assumptions!$B$16,0)</f>
        <v>5</v>
      </c>
      <c r="D9" s="17" t="n">
        <f aca="false">ROUND(D5*Assumptions!$B$16,0)</f>
        <v>10</v>
      </c>
      <c r="E9" s="17" t="n">
        <f aca="false">ROUND(E5*Assumptions!$B$16,0)</f>
        <v>25</v>
      </c>
      <c r="F9" s="17" t="n">
        <f aca="false">ROUND(F5*Assumptions!$B$16,0)</f>
        <v>50</v>
      </c>
      <c r="G9" s="17" t="n">
        <f aca="false">ROUND(G5*Assumptions!$B$16,0)</f>
        <v>100</v>
      </c>
      <c r="H9" s="17" t="n">
        <f aca="false">ROUND(H5*Assumptions!$B$16,0)</f>
        <v>250</v>
      </c>
      <c r="I9" s="17" t="n">
        <f aca="false">ROUND(I5*Assumptions!$B$16,0)</f>
        <v>500</v>
      </c>
    </row>
    <row r="10" customFormat="false" ht="15" hidden="false" customHeight="true" outlineLevel="0" collapsed="false">
      <c r="A10" s="8" t="s">
        <v>532</v>
      </c>
      <c r="B10" s="68" t="n">
        <f aca="false">B8+B9</f>
        <v>6</v>
      </c>
      <c r="C10" s="68" t="n">
        <f aca="false">C8+C9</f>
        <v>28</v>
      </c>
      <c r="D10" s="68" t="n">
        <f aca="false">D8+D9</f>
        <v>55</v>
      </c>
      <c r="E10" s="68" t="n">
        <f aca="false">E8+E9</f>
        <v>138</v>
      </c>
      <c r="F10" s="68" t="n">
        <f aca="false">F8+F9</f>
        <v>275</v>
      </c>
      <c r="G10" s="68" t="n">
        <f aca="false">G8+G9</f>
        <v>550</v>
      </c>
      <c r="H10" s="68" t="n">
        <f aca="false">H8+H9</f>
        <v>1375</v>
      </c>
      <c r="I10" s="68" t="n">
        <f aca="false">I8+I9</f>
        <v>2750</v>
      </c>
    </row>
    <row r="11" customFormat="false" ht="15" hidden="false" customHeight="false" outlineLevel="0" collapsed="false">
      <c r="A11" s="6" t="s">
        <v>533</v>
      </c>
      <c r="B11" s="17" t="n">
        <f aca="false">ROUND(B7*Assumptions!$B$54+B8*Assumptions!$B$55,0)</f>
        <v>1</v>
      </c>
      <c r="C11" s="17" t="n">
        <f aca="false">ROUND(C7*Assumptions!$B$54+C8*Assumptions!$B$55,0)</f>
        <v>6</v>
      </c>
      <c r="D11" s="17" t="n">
        <f aca="false">ROUND(D7*Assumptions!$B$54+D8*Assumptions!$B$55,0)</f>
        <v>12</v>
      </c>
      <c r="E11" s="17" t="n">
        <f aca="false">ROUND(E7*Assumptions!$B$54+E8*Assumptions!$B$55,0)</f>
        <v>29</v>
      </c>
      <c r="F11" s="17" t="n">
        <f aca="false">ROUND(F7*Assumptions!$B$54+F8*Assumptions!$B$55,0)</f>
        <v>59</v>
      </c>
      <c r="G11" s="17" t="n">
        <f aca="false">ROUND(G7*Assumptions!$B$54+G8*Assumptions!$B$55,0)</f>
        <v>117</v>
      </c>
      <c r="H11" s="17" t="n">
        <f aca="false">ROUND(H7*Assumptions!$B$54+H8*Assumptions!$B$55,0)</f>
        <v>293</v>
      </c>
      <c r="I11" s="17" t="n">
        <f aca="false">ROUND(I7*Assumptions!$B$54+I8*Assumptions!$B$55,0)</f>
        <v>585</v>
      </c>
    </row>
    <row r="12" customFormat="false" ht="15" hidden="false" customHeight="false" outlineLevel="0" collapsed="false">
      <c r="A12" s="14" t="s">
        <v>534</v>
      </c>
      <c r="B12" s="14"/>
      <c r="C12" s="14"/>
      <c r="D12" s="14"/>
      <c r="E12" s="14"/>
      <c r="F12" s="14"/>
      <c r="G12" s="14"/>
      <c r="H12" s="14"/>
      <c r="I12" s="14"/>
    </row>
    <row r="13" customFormat="false" ht="15" hidden="false" customHeight="false" outlineLevel="0" collapsed="false">
      <c r="A13" s="6" t="s">
        <v>535</v>
      </c>
      <c r="B13" s="34" t="n">
        <f aca="false">B8*'Unit economics'!$F$11+B9*'Unit economics'!$F$12</f>
        <v>21.0578709583333</v>
      </c>
      <c r="C13" s="34" t="n">
        <f aca="false">C8*'Unit economics'!$F$11+C9*'Unit economics'!$F$12</f>
        <v>98.9912549583333</v>
      </c>
      <c r="D13" s="34" t="n">
        <f aca="false">D8*'Unit economics'!$F$11+D9*'Unit economics'!$F$12</f>
        <v>194.83346</v>
      </c>
      <c r="E13" s="34" t="n">
        <f aca="false">E8*'Unit economics'!$F$11+E9*'Unit economics'!$F$12</f>
        <v>488.658174958333</v>
      </c>
      <c r="F13" s="34" t="n">
        <f aca="false">F8*'Unit economics'!$F$11+F9*'Unit economics'!$F$12</f>
        <v>974.1673</v>
      </c>
      <c r="G13" s="34" t="n">
        <f aca="false">G8*'Unit economics'!$F$11+G9*'Unit economics'!$F$12</f>
        <v>1948.3346</v>
      </c>
      <c r="H13" s="34" t="n">
        <f aca="false">H8*'Unit economics'!$F$11+H9*'Unit economics'!$F$12</f>
        <v>4870.8365</v>
      </c>
      <c r="I13" s="34" t="n">
        <f aca="false">I8*'Unit economics'!$F$11+I9*'Unit economics'!$F$12</f>
        <v>9741.673</v>
      </c>
    </row>
    <row r="14" customFormat="false" ht="15" hidden="false" customHeight="false" outlineLevel="0" collapsed="false">
      <c r="A14" s="6" t="s">
        <v>536</v>
      </c>
      <c r="B14" s="34" t="n">
        <f aca="false">-(B8*'Unit economics'!$G$11+B9*'Unit economics'!$G$12)</f>
        <v>-3.65467181921488</v>
      </c>
      <c r="C14" s="34" t="n">
        <f aca="false">-(C8*'Unit economics'!$G$11+C9*'Unit economics'!$G$12)</f>
        <v>-17.180300447314</v>
      </c>
      <c r="D14" s="34" t="n">
        <f aca="false">-(D8*'Unit economics'!$G$11+D9*'Unit economics'!$G$12)</f>
        <v>-33.8140715702479</v>
      </c>
      <c r="E14" s="34" t="n">
        <f aca="false">-(E8*'Unit economics'!$G$11+E9*'Unit economics'!$G$12)</f>
        <v>-84.8084435878099</v>
      </c>
      <c r="F14" s="34" t="n">
        <f aca="false">-(F8*'Unit economics'!$G$11+F9*'Unit economics'!$G$12)</f>
        <v>-169.07035785124</v>
      </c>
      <c r="G14" s="34" t="n">
        <f aca="false">-(G8*'Unit economics'!$G$11+G9*'Unit economics'!$G$12)</f>
        <v>-338.140715702479</v>
      </c>
      <c r="H14" s="34" t="n">
        <f aca="false">-(H8*'Unit economics'!$G$11+H9*'Unit economics'!$G$12)</f>
        <v>-845.351789256198</v>
      </c>
      <c r="I14" s="34" t="n">
        <f aca="false">-(I8*'Unit economics'!$G$11+I9*'Unit economics'!$G$12)</f>
        <v>-1690.7035785124</v>
      </c>
    </row>
    <row r="15" customFormat="false" ht="15" hidden="false" customHeight="false" outlineLevel="0" collapsed="false">
      <c r="A15" s="6" t="s">
        <v>537</v>
      </c>
      <c r="B15" s="34" t="n">
        <f aca="false">B23*(1-Assumptions!$B$19)*(B8*'Unit economics'!$G$11+B9*'Unit economics'!$G$12)</f>
        <v>1.46186872768595</v>
      </c>
      <c r="C15" s="34" t="n">
        <f aca="false">C23*(1-Assumptions!$B$19)*(C8*'Unit economics'!$G$11+C9*'Unit economics'!$G$12)</f>
        <v>6.87212017892562</v>
      </c>
      <c r="D15" s="34" t="n">
        <f aca="false">D23*(1-Assumptions!$B$19)*(D8*'Unit economics'!$G$11+D9*'Unit economics'!$G$12)</f>
        <v>13.5256286280992</v>
      </c>
      <c r="E15" s="34" t="n">
        <f aca="false">E23*(1-Assumptions!$B$19)*(E8*'Unit economics'!$G$11+E9*'Unit economics'!$G$12)</f>
        <v>33.923377435124</v>
      </c>
      <c r="F15" s="34" t="n">
        <f aca="false">F23*(1-Assumptions!$B$19)*(F8*'Unit economics'!$G$11+F9*'Unit economics'!$G$12)</f>
        <v>67.6281431404959</v>
      </c>
      <c r="G15" s="34" t="n">
        <f aca="false">G23*(1-Assumptions!$B$19)*(G8*'Unit economics'!$G$11+G9*'Unit economics'!$G$12)</f>
        <v>135.256286280992</v>
      </c>
      <c r="H15" s="34" t="n">
        <f aca="false">H23*(1-Assumptions!$B$19)*(H8*'Unit economics'!$G$11+H9*'Unit economics'!$G$12)</f>
        <v>0</v>
      </c>
      <c r="I15" s="34" t="n">
        <f aca="false">I23*(1-Assumptions!$B$19)*(I8*'Unit economics'!$G$11+I9*'Unit economics'!$G$12)</f>
        <v>0</v>
      </c>
    </row>
    <row r="16" customFormat="false" ht="15" hidden="false" customHeight="false" outlineLevel="0" collapsed="false">
      <c r="A16" s="6" t="s">
        <v>538</v>
      </c>
      <c r="B16" s="34" t="n">
        <f aca="false">-(B8*'Unit economics'!$K$11+B9*'Unit economics'!$K$12)</f>
        <v>-1.98951385362066</v>
      </c>
      <c r="C16" s="34" t="n">
        <f aca="false">-(C8*'Unit economics'!$K$11+C9*'Unit economics'!$K$12)</f>
        <v>-9.35202561629173</v>
      </c>
      <c r="D16" s="34" t="n">
        <f aca="false">-(D8*'Unit economics'!$K$11+D9*'Unit economics'!$K$12)</f>
        <v>-18.4062794066777</v>
      </c>
      <c r="E16" s="34" t="n">
        <f aca="false">-(E8*'Unit economics'!$K$11+E9*'Unit economics'!$K$12)</f>
        <v>-46.1645844296471</v>
      </c>
      <c r="F16" s="34" t="n">
        <f aca="false">-(F8*'Unit economics'!$K$11+F9*'Unit economics'!$K$12)</f>
        <v>-92.0313970333884</v>
      </c>
      <c r="G16" s="34" t="n">
        <f aca="false">-(G8*'Unit economics'!$K$11+G9*'Unit economics'!$K$12)</f>
        <v>-184.062794066777</v>
      </c>
      <c r="H16" s="34" t="n">
        <f aca="false">-(H8*'Unit economics'!$K$11+H9*'Unit economics'!$K$12)</f>
        <v>-460.156985166942</v>
      </c>
      <c r="I16" s="34" t="n">
        <f aca="false">-(I8*'Unit economics'!$K$11+I9*'Unit economics'!$K$12)</f>
        <v>-920.313970333884</v>
      </c>
    </row>
    <row r="17" customFormat="false" ht="15" hidden="false" customHeight="false" outlineLevel="0" collapsed="false">
      <c r="A17" s="6" t="s">
        <v>539</v>
      </c>
      <c r="B17" s="34" t="n">
        <f aca="false">B11*Assumptions!$B$56*'Credit shop'!$G$22</f>
        <v>2.9397677553719</v>
      </c>
      <c r="C17" s="34" t="n">
        <f aca="false">C11*Assumptions!$B$56*'Credit shop'!$G$22</f>
        <v>17.6386065322314</v>
      </c>
      <c r="D17" s="34" t="n">
        <f aca="false">D11*Assumptions!$B$56*'Credit shop'!$G$22</f>
        <v>35.2772130644628</v>
      </c>
      <c r="E17" s="34" t="n">
        <f aca="false">E11*Assumptions!$B$56*'Credit shop'!$G$22</f>
        <v>85.2532649057851</v>
      </c>
      <c r="F17" s="34" t="n">
        <f aca="false">F11*Assumptions!$B$56*'Credit shop'!$G$22</f>
        <v>173.446297566942</v>
      </c>
      <c r="G17" s="34" t="n">
        <f aca="false">G11*Assumptions!$B$56*'Credit shop'!$G$22</f>
        <v>343.952827378512</v>
      </c>
      <c r="H17" s="34" t="n">
        <f aca="false">H11*Assumptions!$B$56*'Credit shop'!$G$22</f>
        <v>861.351952323967</v>
      </c>
      <c r="I17" s="34" t="n">
        <f aca="false">I11*Assumptions!$B$56*'Credit shop'!$G$22</f>
        <v>1719.76413689256</v>
      </c>
    </row>
    <row r="18" customFormat="false" ht="15" hidden="false" customHeight="false" outlineLevel="0" collapsed="false">
      <c r="A18" s="8" t="s">
        <v>540</v>
      </c>
      <c r="B18" s="43" t="n">
        <f aca="false">SUM(B13:B17)</f>
        <v>19.8153217685556</v>
      </c>
      <c r="C18" s="43" t="n">
        <f aca="false">SUM(C13:C17)</f>
        <v>96.9696556058846</v>
      </c>
      <c r="D18" s="43" t="n">
        <f aca="false">SUM(D13:D17)</f>
        <v>191.415950715636</v>
      </c>
      <c r="E18" s="43" t="n">
        <f aca="false">SUM(E13:E17)</f>
        <v>476.861789281785</v>
      </c>
      <c r="F18" s="43" t="n">
        <f aca="false">SUM(F13:F17)</f>
        <v>954.13998582281</v>
      </c>
      <c r="G18" s="43" t="n">
        <f aca="false">SUM(G13:G17)</f>
        <v>1905.34020389025</v>
      </c>
      <c r="H18" s="43" t="n">
        <f aca="false">SUM(H13:H17)</f>
        <v>4426.67967790083</v>
      </c>
      <c r="I18" s="43" t="n">
        <f aca="false">SUM(I13:I17)</f>
        <v>8850.41958804628</v>
      </c>
    </row>
    <row r="19" customFormat="false" ht="15" hidden="false" customHeight="false" outlineLevel="0" collapsed="false">
      <c r="A19" s="69"/>
      <c r="B19" s="69"/>
      <c r="C19" s="69"/>
      <c r="D19" s="69"/>
      <c r="E19" s="69"/>
      <c r="F19" s="69"/>
      <c r="G19" s="69"/>
      <c r="H19" s="69"/>
      <c r="I19" s="69"/>
    </row>
    <row r="20" customFormat="false" ht="15" hidden="false" customHeight="false" outlineLevel="0" collapsed="false">
      <c r="A20" s="14" t="s">
        <v>541</v>
      </c>
      <c r="B20" s="14"/>
      <c r="C20" s="14"/>
      <c r="D20" s="14"/>
      <c r="E20" s="14"/>
      <c r="F20" s="14"/>
      <c r="G20" s="14"/>
      <c r="H20" s="14"/>
      <c r="I20" s="14"/>
    </row>
    <row r="21" customFormat="false" ht="15" hidden="false" customHeight="false" outlineLevel="0" collapsed="false">
      <c r="A21" s="6" t="s">
        <v>542</v>
      </c>
      <c r="B21" s="34" t="n">
        <f aca="false">(B13+B14+B11*Assumptions!$B$56*'Credit shop'!$C$21/(1+Assumptions!$B$7))*12</f>
        <v>249.182191322314</v>
      </c>
      <c r="C21" s="34" t="n">
        <f aca="false">(C13+C14+C11*Assumptions!$B$56*'Credit shop'!$C$21/(1+Assumptions!$B$7))*12</f>
        <v>1223.79426404959</v>
      </c>
      <c r="D21" s="34" t="n">
        <f aca="false">(D13+D14+D11*Assumptions!$B$56*'Credit shop'!$C$21/(1+Assumptions!$B$7))*12</f>
        <v>2416.35828099174</v>
      </c>
      <c r="E21" s="34" t="n">
        <f aca="false">(E13+E14+E11*Assumptions!$B$56*'Credit shop'!$C$21/(1+Assumptions!$B$7))*12</f>
        <v>6016.16702438017</v>
      </c>
      <c r="F21" s="34" t="n">
        <f aca="false">(F13+F14+F11*Assumptions!$B$56*'Credit shop'!$C$21/(1+Assumptions!$B$7))*12</f>
        <v>12041.4476033058</v>
      </c>
      <c r="G21" s="34" t="n">
        <f aca="false">(G13+G14+G11*Assumptions!$B$56*'Credit shop'!$C$21/(1+Assumptions!$B$7))*12</f>
        <v>24042.5514049587</v>
      </c>
      <c r="H21" s="34" t="n">
        <f aca="false">(H13+H14+H11*Assumptions!$B$56*'Credit shop'!$C$21/(1+Assumptions!$B$7))*12</f>
        <v>60126.5504132231</v>
      </c>
      <c r="I21" s="34" t="n">
        <f aca="false">(I13+I14+I11*Assumptions!$B$56*'Credit shop'!$C$21/(1+Assumptions!$B$7))*12</f>
        <v>120212.757024793</v>
      </c>
    </row>
    <row r="22" customFormat="false" ht="15" hidden="false" customHeight="false" outlineLevel="0" collapsed="false">
      <c r="A22" s="6" t="s">
        <v>543</v>
      </c>
      <c r="B22" s="34" t="n">
        <f aca="false">(B13*(1-Assumptions!$B$19)+B11*Assumptions!$B$56*'Credit shop'!$C$21*(1-Assumptions!$B$58))*Assumptions!$B$29*12</f>
        <v>84.76750448</v>
      </c>
      <c r="C22" s="34" t="n">
        <f aca="false">(C13*(1-Assumptions!$B$19)+C11*Assumptions!$B$56*'Credit shop'!$C$21*(1-Assumptions!$B$58))*Assumptions!$B$29*12</f>
        <v>403.55809904</v>
      </c>
      <c r="D22" s="34" t="n">
        <f aca="false">(D13*(1-Assumptions!$B$19)+D11*Assumptions!$B$56*'Credit shop'!$C$21*(1-Assumptions!$B$58))*Assumptions!$B$29*12</f>
        <v>795.0238464</v>
      </c>
      <c r="E22" s="34" t="n">
        <f aca="false">(E13*(1-Assumptions!$B$19)+E11*Assumptions!$B$56*'Credit shop'!$C$21*(1-Assumptions!$B$58))*Assumptions!$B$29*12</f>
        <v>1989.70051184</v>
      </c>
      <c r="F22" s="34" t="n">
        <f aca="false">(F13*(1-Assumptions!$B$19)+F11*Assumptions!$B$56*'Credit shop'!$C$21*(1-Assumptions!$B$58))*Assumptions!$B$29*12</f>
        <v>3971.213952</v>
      </c>
      <c r="G22" s="34" t="n">
        <f aca="false">(G13*(1-Assumptions!$B$19)+G11*Assumptions!$B$56*'Credit shop'!$C$21*(1-Assumptions!$B$58))*Assumptions!$B$29*12</f>
        <v>7938.522624</v>
      </c>
      <c r="H22" s="34" t="n">
        <f aca="false">(H13*(1-Assumptions!$B$19)+H11*Assumptions!$B$56*'Credit shop'!$C$21*(1-Assumptions!$B$58))*Assumptions!$B$29*12</f>
        <v>19848.2592</v>
      </c>
      <c r="I22" s="34" t="n">
        <f aca="false">(I13*(1-Assumptions!$B$19)+I11*Assumptions!$B$56*'Credit shop'!$C$21*(1-Assumptions!$B$58))*Assumptions!$B$29*12</f>
        <v>39692.61312</v>
      </c>
    </row>
    <row r="23" customFormat="false" ht="15" hidden="false" customHeight="false" outlineLevel="0" collapsed="false">
      <c r="A23" s="6" t="s">
        <v>544</v>
      </c>
      <c r="B23" s="17" t="n">
        <f aca="false">IF(AND(Assumptions!$B$26="Y",B21&lt;=Assumptions!$B$27,B22&lt;=Assumptions!$B$28),1,0)</f>
        <v>1</v>
      </c>
      <c r="C23" s="17" t="n">
        <f aca="false">IF(AND(Assumptions!$B$26="Y",C21&lt;=Assumptions!$B$27,C22&lt;=Assumptions!$B$28),1,0)</f>
        <v>1</v>
      </c>
      <c r="D23" s="17" t="n">
        <f aca="false">IF(AND(Assumptions!$B$26="Y",D21&lt;=Assumptions!$B$27,D22&lt;=Assumptions!$B$28),1,0)</f>
        <v>1</v>
      </c>
      <c r="E23" s="17" t="n">
        <f aca="false">IF(AND(Assumptions!$B$26="Y",E21&lt;=Assumptions!$B$27,E22&lt;=Assumptions!$B$28),1,0)</f>
        <v>1</v>
      </c>
      <c r="F23" s="17" t="n">
        <f aca="false">IF(AND(Assumptions!$B$26="Y",F21&lt;=Assumptions!$B$27,F22&lt;=Assumptions!$B$28),1,0)</f>
        <v>1</v>
      </c>
      <c r="G23" s="17" t="n">
        <f aca="false">IF(AND(Assumptions!$B$26="Y",G21&lt;=Assumptions!$B$27,G22&lt;=Assumptions!$B$28),1,0)</f>
        <v>1</v>
      </c>
      <c r="H23" s="17" t="n">
        <f aca="false">IF(AND(Assumptions!$B$26="Y",H21&lt;=Assumptions!$B$27,H22&lt;=Assumptions!$B$28),1,0)</f>
        <v>0</v>
      </c>
      <c r="I23" s="17" t="n">
        <f aca="false">IF(AND(Assumptions!$B$26="Y",I21&lt;=Assumptions!$B$27,I22&lt;=Assumptions!$B$28),1,0)</f>
        <v>0</v>
      </c>
    </row>
    <row r="24" customFormat="false" ht="15" hidden="false" customHeight="false" outlineLevel="0" collapsed="false">
      <c r="A24" s="69"/>
      <c r="B24" s="69"/>
      <c r="C24" s="69"/>
      <c r="D24" s="69"/>
      <c r="E24" s="69"/>
      <c r="F24" s="69"/>
      <c r="G24" s="69"/>
      <c r="H24" s="69"/>
      <c r="I24" s="69"/>
    </row>
    <row r="25" customFormat="false" ht="15" hidden="false" customHeight="false" outlineLevel="0" collapsed="false">
      <c r="A25" s="14" t="s">
        <v>545</v>
      </c>
      <c r="B25" s="14"/>
      <c r="C25" s="14"/>
      <c r="D25" s="14"/>
      <c r="E25" s="14"/>
      <c r="F25" s="14"/>
      <c r="G25" s="14"/>
      <c r="H25" s="14"/>
      <c r="I25" s="14"/>
    </row>
    <row r="26" customFormat="false" ht="15" hidden="false" customHeight="false" outlineLevel="0" collapsed="false">
      <c r="A26" s="6" t="s">
        <v>546</v>
      </c>
      <c r="B26" s="34" t="n">
        <f aca="false">B8*'Unit economics'!$M$11+B9*'Unit economics'!$M$12+B7*'Unit economics'!$C$30</f>
        <v>3.819002</v>
      </c>
      <c r="C26" s="34" t="n">
        <f aca="false">C8*'Unit economics'!$M$11+C9*'Unit economics'!$M$12+C7*'Unit economics'!$C$30</f>
        <v>18.57471</v>
      </c>
      <c r="D26" s="34" t="n">
        <f aca="false">D8*'Unit economics'!$M$11+D9*'Unit economics'!$M$12+D7*'Unit economics'!$C$30</f>
        <v>36.88927</v>
      </c>
      <c r="E26" s="34" t="n">
        <f aca="false">E8*'Unit economics'!$M$11+E9*'Unit economics'!$M$12+E7*'Unit economics'!$C$30</f>
        <v>92.35325</v>
      </c>
      <c r="F26" s="34" t="n">
        <f aca="false">F8*'Unit economics'!$M$11+F9*'Unit economics'!$M$12+F7*'Unit economics'!$C$30</f>
        <v>184.44635</v>
      </c>
      <c r="G26" s="34" t="n">
        <f aca="false">G8*'Unit economics'!$M$11+G9*'Unit economics'!$M$12+G7*'Unit economics'!$C$30</f>
        <v>368.8927</v>
      </c>
      <c r="H26" s="34" t="n">
        <f aca="false">H8*'Unit economics'!$M$11+H9*'Unit economics'!$M$12+H7*'Unit economics'!$C$30</f>
        <v>922.23175</v>
      </c>
      <c r="I26" s="34" t="n">
        <f aca="false">I8*'Unit economics'!$M$11+I9*'Unit economics'!$M$12+I7*'Unit economics'!$C$30</f>
        <v>1844.4635</v>
      </c>
    </row>
    <row r="27" customFormat="false" ht="15" hidden="false" customHeight="false" outlineLevel="0" collapsed="false">
      <c r="A27" s="6" t="s">
        <v>547</v>
      </c>
      <c r="B27" s="34" t="n">
        <f aca="false">B7*Assumptions!$B$35+B10*Assumptions!$B$36</f>
        <v>1.06</v>
      </c>
      <c r="C27" s="34" t="n">
        <f aca="false">C7*Assumptions!$B$35+C10*Assumptions!$B$36</f>
        <v>5.28</v>
      </c>
      <c r="D27" s="34" t="n">
        <f aca="false">D7*Assumptions!$B$35+D10*Assumptions!$B$36</f>
        <v>10.55</v>
      </c>
      <c r="E27" s="34" t="n">
        <f aca="false">E7*Assumptions!$B$35+E10*Assumptions!$B$36</f>
        <v>26.38</v>
      </c>
      <c r="F27" s="34" t="n">
        <f aca="false">F7*Assumptions!$B$35+F10*Assumptions!$B$36</f>
        <v>52.75</v>
      </c>
      <c r="G27" s="34" t="n">
        <f aca="false">G7*Assumptions!$B$35+G10*Assumptions!$B$36</f>
        <v>105.5</v>
      </c>
      <c r="H27" s="34" t="n">
        <f aca="false">H7*Assumptions!$B$35+H10*Assumptions!$B$36</f>
        <v>263.75</v>
      </c>
      <c r="I27" s="34" t="n">
        <f aca="false">I7*Assumptions!$B$35+I10*Assumptions!$B$36</f>
        <v>527.5</v>
      </c>
    </row>
    <row r="28" customFormat="false" ht="15" hidden="false" customHeight="false" outlineLevel="0" collapsed="false">
      <c r="A28" s="6" t="s">
        <v>548</v>
      </c>
      <c r="B28" s="34" t="n">
        <f aca="false">CHOOSE(B6,'Fixed costs'!$I$24,'Fixed costs'!$J$24,'Fixed costs'!$K$24)</f>
        <v>232.68245</v>
      </c>
      <c r="C28" s="34" t="n">
        <f aca="false">CHOOSE(C6,'Fixed costs'!$I$24,'Fixed costs'!$J$24,'Fixed costs'!$K$24)</f>
        <v>232.68245</v>
      </c>
      <c r="D28" s="34" t="n">
        <f aca="false">CHOOSE(D6,'Fixed costs'!$I$24,'Fixed costs'!$J$24,'Fixed costs'!$K$24)</f>
        <v>232.68245</v>
      </c>
      <c r="E28" s="34" t="n">
        <f aca="false">CHOOSE(E6,'Fixed costs'!$I$24,'Fixed costs'!$J$24,'Fixed costs'!$K$24)</f>
        <v>355.32145</v>
      </c>
      <c r="F28" s="34" t="n">
        <f aca="false">CHOOSE(F6,'Fixed costs'!$I$24,'Fixed costs'!$J$24,'Fixed costs'!$K$24)</f>
        <v>355.32145</v>
      </c>
      <c r="G28" s="34" t="n">
        <f aca="false">CHOOSE(G6,'Fixed costs'!$I$24,'Fixed costs'!$J$24,'Fixed costs'!$K$24)</f>
        <v>355.32145</v>
      </c>
      <c r="H28" s="34" t="n">
        <f aca="false">CHOOSE(H6,'Fixed costs'!$I$24,'Fixed costs'!$J$24,'Fixed costs'!$K$24)</f>
        <v>736.5767</v>
      </c>
      <c r="I28" s="34" t="n">
        <f aca="false">CHOOSE(I6,'Fixed costs'!$I$24,'Fixed costs'!$J$24,'Fixed costs'!$K$24)</f>
        <v>736.5767</v>
      </c>
    </row>
    <row r="29" customFormat="false" ht="15" hidden="false" customHeight="false" outlineLevel="0" collapsed="false">
      <c r="A29" s="8" t="s">
        <v>549</v>
      </c>
      <c r="B29" s="44" t="n">
        <f aca="false">B26+B27+B28</f>
        <v>237.561452</v>
      </c>
      <c r="C29" s="44" t="n">
        <f aca="false">C26+C27+C28</f>
        <v>256.53716</v>
      </c>
      <c r="D29" s="44" t="n">
        <f aca="false">D26+D27+D28</f>
        <v>280.12172</v>
      </c>
      <c r="E29" s="44" t="n">
        <f aca="false">E26+E27+E28</f>
        <v>474.0547</v>
      </c>
      <c r="F29" s="44" t="n">
        <f aca="false">F26+F27+F28</f>
        <v>592.5178</v>
      </c>
      <c r="G29" s="44" t="n">
        <f aca="false">G26+G27+G28</f>
        <v>829.71415</v>
      </c>
      <c r="H29" s="44" t="n">
        <f aca="false">H26+H27+H28</f>
        <v>1922.55845</v>
      </c>
      <c r="I29" s="44" t="n">
        <f aca="false">I26+I27+I28</f>
        <v>3108.5402</v>
      </c>
    </row>
    <row r="30" customFormat="false" ht="15" hidden="false" customHeight="false" outlineLevel="0" collapsed="false">
      <c r="A30" s="69"/>
      <c r="B30" s="69"/>
      <c r="C30" s="69"/>
      <c r="D30" s="69"/>
      <c r="E30" s="69"/>
      <c r="F30" s="69"/>
      <c r="G30" s="69"/>
      <c r="H30" s="69"/>
      <c r="I30" s="69"/>
    </row>
    <row r="31" customFormat="false" ht="15" hidden="false" customHeight="false" outlineLevel="0" collapsed="false">
      <c r="A31" s="14" t="s">
        <v>550</v>
      </c>
      <c r="B31" s="14"/>
      <c r="C31" s="14"/>
      <c r="D31" s="14"/>
      <c r="E31" s="14"/>
      <c r="F31" s="14"/>
      <c r="G31" s="14"/>
      <c r="H31" s="14"/>
      <c r="I31" s="14"/>
    </row>
    <row r="32" customFormat="false" ht="15" hidden="false" customHeight="false" outlineLevel="0" collapsed="false">
      <c r="A32" s="8" t="s">
        <v>551</v>
      </c>
      <c r="B32" s="43" t="n">
        <f aca="false">B18-B29</f>
        <v>-217.746130231444</v>
      </c>
      <c r="C32" s="43" t="n">
        <f aca="false">C18-C29</f>
        <v>-159.567504394115</v>
      </c>
      <c r="D32" s="43" t="n">
        <f aca="false">D18-D29</f>
        <v>-88.7057692843636</v>
      </c>
      <c r="E32" s="43" t="n">
        <f aca="false">E18-E29</f>
        <v>2.80708928178541</v>
      </c>
      <c r="F32" s="43" t="n">
        <f aca="false">F18-F29</f>
        <v>361.62218582281</v>
      </c>
      <c r="G32" s="43" t="n">
        <f aca="false">G18-G29</f>
        <v>1075.62605389025</v>
      </c>
      <c r="H32" s="43" t="n">
        <f aca="false">H18-H29</f>
        <v>2504.12122790083</v>
      </c>
      <c r="I32" s="43" t="n">
        <f aca="false">I18-I29</f>
        <v>5741.87938804628</v>
      </c>
    </row>
    <row r="33" customFormat="false" ht="15" hidden="false" customHeight="false" outlineLevel="0" collapsed="false">
      <c r="A33" s="6" t="s">
        <v>552</v>
      </c>
      <c r="B33" s="34" t="n">
        <f aca="false">MAX(0,B32)*12</f>
        <v>0</v>
      </c>
      <c r="C33" s="34" t="n">
        <f aca="false">MAX(0,C32)*12</f>
        <v>0</v>
      </c>
      <c r="D33" s="34" t="n">
        <f aca="false">MAX(0,D32)*12</f>
        <v>0</v>
      </c>
      <c r="E33" s="34" t="n">
        <f aca="false">MAX(0,E32)*12</f>
        <v>33.6850713814249</v>
      </c>
      <c r="F33" s="34" t="n">
        <f aca="false">MAX(0,F32)*12</f>
        <v>4339.46622987372</v>
      </c>
      <c r="G33" s="34" t="n">
        <f aca="false">MAX(0,G32)*12</f>
        <v>12907.512646683</v>
      </c>
      <c r="H33" s="34" t="n">
        <f aca="false">MAX(0,H32)*12</f>
        <v>30049.4547348099</v>
      </c>
      <c r="I33" s="34" t="n">
        <f aca="false">MAX(0,I32)*12</f>
        <v>68902.5526565554</v>
      </c>
    </row>
    <row r="34" customFormat="false" ht="15" hidden="false" customHeight="false" outlineLevel="0" collapsed="false">
      <c r="A34" s="6" t="s">
        <v>553</v>
      </c>
      <c r="B34" s="34" t="n">
        <f aca="false">IF(B33&lt;=Assumptions!$B$41,0,IF(B33&lt;Assumptions!$B$42,Assumptions!$B$43*(B33-Assumptions!$B$41),MAX(4*Assumptions!$B$44,Assumptions!$B$43*B33)))/12</f>
        <v>0</v>
      </c>
      <c r="C34" s="34" t="n">
        <f aca="false">IF(C33&lt;=Assumptions!$B$41,0,IF(C33&lt;Assumptions!$B$42,Assumptions!$B$43*(C33-Assumptions!$B$41),MAX(4*Assumptions!$B$44,Assumptions!$B$43*C33)))/12</f>
        <v>0</v>
      </c>
      <c r="D34" s="34" t="n">
        <f aca="false">IF(D33&lt;=Assumptions!$B$41,0,IF(D33&lt;Assumptions!$B$42,Assumptions!$B$43*(D33-Assumptions!$B$41),MAX(4*Assumptions!$B$44,Assumptions!$B$43*D33)))/12</f>
        <v>0</v>
      </c>
      <c r="E34" s="34" t="n">
        <f aca="false">IF(E33&lt;=Assumptions!$B$41,0,IF(E33&lt;Assumptions!$B$42,Assumptions!$B$43*(E33-Assumptions!$B$41),MAX(4*Assumptions!$B$44,Assumptions!$B$43*E33)))/12</f>
        <v>0</v>
      </c>
      <c r="F34" s="34" t="n">
        <f aca="false">IF(F33&lt;=Assumptions!$B$41,0,IF(F33&lt;Assumptions!$B$42,Assumptions!$B$43*(F33-Assumptions!$B$41),MAX(4*Assumptions!$B$44,Assumptions!$B$43*F33)))/12</f>
        <v>0</v>
      </c>
      <c r="G34" s="34" t="n">
        <f aca="false">IF(G33&lt;=Assumptions!$B$41,0,IF(G33&lt;Assumptions!$B$42,Assumptions!$B$43*(G33-Assumptions!$B$41),MAX(4*Assumptions!$B$44,Assumptions!$B$43*G33)))/12</f>
        <v>72.0997410475007</v>
      </c>
      <c r="H34" s="34" t="n">
        <f aca="false">IF(H33&lt;=Assumptions!$B$41,0,IF(H33&lt;Assumptions!$B$42,Assumptions!$B$43*(H33-Assumptions!$B$41),MAX(4*Assumptions!$B$44,Assumptions!$B$43*H33)))/12</f>
        <v>513.344851719669</v>
      </c>
      <c r="I34" s="34" t="n">
        <f aca="false">IF(I33&lt;=Assumptions!$B$41,0,IF(I33&lt;Assumptions!$B$42,Assumptions!$B$43*(I33-Assumptions!$B$41),MAX(4*Assumptions!$B$44,Assumptions!$B$43*I33)))/12</f>
        <v>1177.08527454949</v>
      </c>
    </row>
    <row r="35" customFormat="false" ht="15" hidden="false" customHeight="false" outlineLevel="0" collapsed="false">
      <c r="A35" s="8" t="s">
        <v>554</v>
      </c>
      <c r="B35" s="43" t="n">
        <f aca="false">B32-B34</f>
        <v>-217.746130231444</v>
      </c>
      <c r="C35" s="43" t="n">
        <f aca="false">C32-C34</f>
        <v>-159.567504394115</v>
      </c>
      <c r="D35" s="43" t="n">
        <f aca="false">D32-D34</f>
        <v>-88.7057692843636</v>
      </c>
      <c r="E35" s="43" t="n">
        <f aca="false">E32-E34</f>
        <v>2.80708928178541</v>
      </c>
      <c r="F35" s="43" t="n">
        <f aca="false">F32-F34</f>
        <v>361.62218582281</v>
      </c>
      <c r="G35" s="43" t="n">
        <f aca="false">G32-G34</f>
        <v>1003.52631284275</v>
      </c>
      <c r="H35" s="43" t="n">
        <f aca="false">H32-H34</f>
        <v>1990.77637618116</v>
      </c>
      <c r="I35" s="43" t="n">
        <f aca="false">I32-I34</f>
        <v>4564.79411349679</v>
      </c>
    </row>
    <row r="36" customFormat="false" ht="15" hidden="false" customHeight="false" outlineLevel="0" collapsed="false">
      <c r="A36" s="6" t="s">
        <v>555</v>
      </c>
      <c r="B36" s="34" t="n">
        <f aca="false">B35*12</f>
        <v>-2612.95356277733</v>
      </c>
      <c r="C36" s="34" t="n">
        <f aca="false">C35*12</f>
        <v>-1914.81005272939</v>
      </c>
      <c r="D36" s="34" t="n">
        <f aca="false">D35*12</f>
        <v>-1064.46923141236</v>
      </c>
      <c r="E36" s="34" t="n">
        <f aca="false">E35*12</f>
        <v>33.6850713814249</v>
      </c>
      <c r="F36" s="34" t="n">
        <f aca="false">F35*12</f>
        <v>4339.46622987372</v>
      </c>
      <c r="G36" s="34" t="n">
        <f aca="false">G35*12</f>
        <v>12042.315754113</v>
      </c>
      <c r="H36" s="34" t="n">
        <f aca="false">H35*12</f>
        <v>23889.3165141739</v>
      </c>
      <c r="I36" s="34" t="n">
        <f aca="false">I35*12</f>
        <v>54777.5293619615</v>
      </c>
    </row>
    <row r="37" customFormat="false" ht="15" hidden="false" customHeight="false" outlineLevel="0" collapsed="false">
      <c r="A37" s="6" t="s">
        <v>556</v>
      </c>
      <c r="B37" s="6" t="str">
        <f aca="false">IF(B33&lt;Assumptions!$B$42,"yes","no: full-time rates")</f>
        <v>yes</v>
      </c>
      <c r="C37" s="6" t="str">
        <f aca="false">IF(C33&lt;Assumptions!$B$42,"yes","no: full-time rates")</f>
        <v>yes</v>
      </c>
      <c r="D37" s="6" t="str">
        <f aca="false">IF(D33&lt;Assumptions!$B$42,"yes","no: full-time rates")</f>
        <v>yes</v>
      </c>
      <c r="E37" s="6" t="str">
        <f aca="false">IF(E33&lt;Assumptions!$B$42,"yes","no: full-time rates")</f>
        <v>yes</v>
      </c>
      <c r="F37" s="6" t="str">
        <f aca="false">IF(F33&lt;Assumptions!$B$42,"yes","no: full-time rates")</f>
        <v>yes</v>
      </c>
      <c r="G37" s="6" t="str">
        <f aca="false">IF(G33&lt;Assumptions!$B$42,"yes","no: full-time rates")</f>
        <v>yes</v>
      </c>
      <c r="H37" s="6" t="str">
        <f aca="false">IF(H33&lt;Assumptions!$B$42,"yes","no: full-time rates")</f>
        <v>no: full-time rates</v>
      </c>
      <c r="I37" s="6" t="str">
        <f aca="false">IF(I33&lt;Assumptions!$B$42,"yes","no: full-time rates")</f>
        <v>no: full-time rates</v>
      </c>
    </row>
    <row r="38" customFormat="false" ht="15" hidden="false" customHeight="false" outlineLevel="0" collapsed="false">
      <c r="A38" s="69"/>
      <c r="B38" s="69"/>
      <c r="C38" s="69"/>
      <c r="D38" s="69"/>
      <c r="E38" s="69"/>
      <c r="F38" s="69"/>
      <c r="G38" s="69"/>
      <c r="H38" s="69"/>
      <c r="I38" s="69"/>
    </row>
    <row r="39" customFormat="false" ht="15" hidden="false" customHeight="false" outlineLevel="0" collapsed="false">
      <c r="A39" s="14" t="s">
        <v>557</v>
      </c>
      <c r="B39" s="14"/>
      <c r="C39" s="14"/>
      <c r="D39" s="14"/>
      <c r="E39" s="14"/>
      <c r="F39" s="14"/>
      <c r="G39" s="14"/>
      <c r="H39" s="14"/>
      <c r="I39" s="14"/>
    </row>
    <row r="40" customFormat="false" ht="15" hidden="false" customHeight="false" outlineLevel="0" collapsed="false">
      <c r="A40" s="6" t="s">
        <v>558</v>
      </c>
      <c r="B40" s="34" t="n">
        <f aca="false">IF(B5=0,0,B29/B5)</f>
        <v>2.37561452</v>
      </c>
      <c r="C40" s="34" t="n">
        <f aca="false">IF(C5=0,0,C29/C5)</f>
        <v>0.51307432</v>
      </c>
      <c r="D40" s="34" t="n">
        <f aca="false">IF(D5=0,0,D29/D5)</f>
        <v>0.28012172</v>
      </c>
      <c r="E40" s="34" t="n">
        <f aca="false">IF(E5=0,0,E29/E5)</f>
        <v>0.18962188</v>
      </c>
      <c r="F40" s="34" t="n">
        <f aca="false">IF(F5=0,0,F29/F5)</f>
        <v>0.11850356</v>
      </c>
      <c r="G40" s="34" t="n">
        <f aca="false">IF(G5=0,0,G29/G5)</f>
        <v>0.082971415</v>
      </c>
      <c r="H40" s="34" t="n">
        <f aca="false">IF(H5=0,0,H29/H5)</f>
        <v>0.076902338</v>
      </c>
      <c r="I40" s="34" t="n">
        <f aca="false">IF(I5=0,0,I29/I5)</f>
        <v>0.062170804</v>
      </c>
    </row>
    <row r="41" customFormat="false" ht="15" hidden="false" customHeight="false" outlineLevel="0" collapsed="false">
      <c r="A41" s="6" t="s">
        <v>559</v>
      </c>
      <c r="B41" s="34" t="n">
        <f aca="false">IF(B10=0,0,B29/B10)</f>
        <v>39.5935753333333</v>
      </c>
      <c r="C41" s="34" t="n">
        <f aca="false">IF(C10=0,0,C29/C10)</f>
        <v>9.16204142857143</v>
      </c>
      <c r="D41" s="34" t="n">
        <f aca="false">IF(D10=0,0,D29/D10)</f>
        <v>5.09312218181818</v>
      </c>
      <c r="E41" s="34" t="n">
        <f aca="false">IF(E10=0,0,E29/E10)</f>
        <v>3.43517898550725</v>
      </c>
      <c r="F41" s="34" t="n">
        <f aca="false">IF(F10=0,0,F29/F10)</f>
        <v>2.15461018181818</v>
      </c>
      <c r="G41" s="34" t="n">
        <f aca="false">IF(G10=0,0,G29/G10)</f>
        <v>1.50857118181818</v>
      </c>
      <c r="H41" s="34" t="n">
        <f aca="false">IF(H10=0,0,H29/H10)</f>
        <v>1.39822432727273</v>
      </c>
      <c r="I41" s="34" t="n">
        <f aca="false">IF(I10=0,0,I29/I10)</f>
        <v>1.13037825454545</v>
      </c>
    </row>
    <row r="42" customFormat="false" ht="15" hidden="false" customHeight="false" outlineLevel="0" collapsed="false">
      <c r="A42" s="6" t="s">
        <v>560</v>
      </c>
      <c r="B42" s="34" t="n">
        <f aca="false">IF(B10=0,0,B18/B10)</f>
        <v>3.30255362809261</v>
      </c>
      <c r="C42" s="34" t="n">
        <f aca="false">IF(C10=0,0,C18/C10)</f>
        <v>3.46320198592445</v>
      </c>
      <c r="D42" s="34" t="n">
        <f aca="false">IF(D10=0,0,D18/D10)</f>
        <v>3.48029001301157</v>
      </c>
      <c r="E42" s="34" t="n">
        <f aca="false">IF(E10=0,0,E18/E10)</f>
        <v>3.45552021218685</v>
      </c>
      <c r="F42" s="34" t="n">
        <f aca="false">IF(F10=0,0,F18/F10)</f>
        <v>3.46959994844658</v>
      </c>
      <c r="G42" s="34" t="n">
        <f aca="false">IF(G10=0,0,G18/G10)</f>
        <v>3.46425491616409</v>
      </c>
      <c r="H42" s="34" t="n">
        <f aca="false">IF(H10=0,0,H18/H10)</f>
        <v>3.21940340210969</v>
      </c>
      <c r="I42" s="34" t="n">
        <f aca="false">IF(I10=0,0,I18/I10)</f>
        <v>3.21833439565319</v>
      </c>
    </row>
    <row r="43" customFormat="false" ht="15" hidden="false" customHeight="false" outlineLevel="0" collapsed="false">
      <c r="A43" s="6" t="s">
        <v>561</v>
      </c>
      <c r="B43" s="34" t="n">
        <f aca="false">'Unit economics'!$C$29</f>
        <v>0.030812</v>
      </c>
      <c r="C43" s="34" t="n">
        <f aca="false">'Unit economics'!$C$29</f>
        <v>0.030812</v>
      </c>
      <c r="D43" s="34" t="n">
        <f aca="false">'Unit economics'!$C$29</f>
        <v>0.030812</v>
      </c>
      <c r="E43" s="34" t="n">
        <f aca="false">'Unit economics'!$C$29</f>
        <v>0.030812</v>
      </c>
      <c r="F43" s="34" t="n">
        <f aca="false">'Unit economics'!$C$29</f>
        <v>0.030812</v>
      </c>
      <c r="G43" s="34" t="n">
        <f aca="false">'Unit economics'!$C$29</f>
        <v>0.030812</v>
      </c>
      <c r="H43" s="34" t="n">
        <f aca="false">'Unit economics'!$C$29</f>
        <v>0.030812</v>
      </c>
      <c r="I43" s="34" t="n">
        <f aca="false">'Unit economics'!$C$29</f>
        <v>0.030812</v>
      </c>
    </row>
    <row r="44" customFormat="false" ht="15" hidden="false" customHeight="false" outlineLevel="0" collapsed="false">
      <c r="A44" s="6" t="s">
        <v>562</v>
      </c>
      <c r="B44" s="35" t="n">
        <f aca="false">IF(B18=0,0,B32/B18)</f>
        <v>-10.9887758964873</v>
      </c>
      <c r="C44" s="35" t="n">
        <f aca="false">IF(C18=0,0,C32/C18)</f>
        <v>-1.64554059099321</v>
      </c>
      <c r="D44" s="35" t="n">
        <f aca="false">IF(D18=0,0,D32/D18)</f>
        <v>-0.463418899797662</v>
      </c>
      <c r="E44" s="35" t="n">
        <f aca="false">IF(E18=0,0,E32/E18)</f>
        <v>0.00588658882904676</v>
      </c>
      <c r="F44" s="35" t="n">
        <f aca="false">IF(F18=0,0,F32/F18)</f>
        <v>0.379003281694522</v>
      </c>
      <c r="G44" s="35" t="n">
        <f aca="false">IF(G18=0,0,G32/G18)</f>
        <v>0.564532282315818</v>
      </c>
      <c r="H44" s="35" t="n">
        <f aca="false">IF(H18=0,0,H32/H18)</f>
        <v>0.565688373704127</v>
      </c>
      <c r="I44" s="35" t="n">
        <f aca="false">IF(I18=0,0,I32/I18)</f>
        <v>0.648769172006431</v>
      </c>
    </row>
    <row r="45" customFormat="false" ht="15" hidden="false" customHeight="false" outlineLevel="0" collapsed="false">
      <c r="A45" s="69"/>
      <c r="B45" s="69"/>
      <c r="C45" s="69"/>
      <c r="D45" s="69"/>
      <c r="E45" s="69"/>
      <c r="F45" s="69"/>
      <c r="G45" s="69"/>
      <c r="H45" s="69"/>
      <c r="I45" s="69"/>
    </row>
    <row r="46" customFormat="false" ht="15" hidden="false" customHeight="false" outlineLevel="0" collapsed="false">
      <c r="A46" s="14" t="s">
        <v>563</v>
      </c>
      <c r="B46" s="14"/>
      <c r="C46" s="14"/>
      <c r="D46" s="14"/>
      <c r="E46" s="14"/>
      <c r="F46" s="14"/>
      <c r="G46" s="14"/>
      <c r="H46" s="14"/>
      <c r="I46" s="14"/>
    </row>
    <row r="47" customFormat="false" ht="15" hidden="false" customHeight="false" outlineLevel="0" collapsed="false">
      <c r="A47" s="6" t="s">
        <v>564</v>
      </c>
      <c r="B47" s="34" t="n">
        <f aca="false">B8*'Unit economics'!$Q$11+B9*'Unit economics'!$Q$12</f>
        <v>15.609</v>
      </c>
      <c r="C47" s="34" t="n">
        <f aca="false">C8*'Unit economics'!$Q$11+C9*'Unit economics'!$Q$12</f>
        <v>73.05012</v>
      </c>
      <c r="D47" s="34" t="n">
        <f aca="false">D8*'Unit economics'!$Q$11+D9*'Unit economics'!$Q$12</f>
        <v>143.6028</v>
      </c>
      <c r="E47" s="34" t="n">
        <f aca="false">E8*'Unit economics'!$Q$11+E9*'Unit economics'!$Q$12</f>
        <v>360.25572</v>
      </c>
      <c r="F47" s="34" t="n">
        <f aca="false">F8*'Unit economics'!$Q$11+F9*'Unit economics'!$Q$12</f>
        <v>718.014</v>
      </c>
      <c r="G47" s="34" t="n">
        <f aca="false">G8*'Unit economics'!$Q$11+G9*'Unit economics'!$Q$12</f>
        <v>1436.028</v>
      </c>
      <c r="H47" s="34" t="n">
        <f aca="false">H8*'Unit economics'!$Q$11+H9*'Unit economics'!$Q$12</f>
        <v>3590.07</v>
      </c>
      <c r="I47" s="34" t="n">
        <f aca="false">I8*'Unit economics'!$Q$11+I9*'Unit economics'!$Q$12</f>
        <v>7180.14</v>
      </c>
    </row>
    <row r="48" customFormat="false" ht="15" hidden="false" customHeight="false" outlineLevel="0" collapsed="false">
      <c r="A48" s="6" t="s">
        <v>565</v>
      </c>
      <c r="B48" s="34" t="n">
        <f aca="false">B7*Assumptions!$B$50*Assumptions!$B$6*(1+Assumptions!$B$8)</f>
        <v>29.34492</v>
      </c>
      <c r="C48" s="34" t="n">
        <f aca="false">C7*Assumptions!$B$50*Assumptions!$B$6*(1+Assumptions!$B$8)</f>
        <v>147.34896</v>
      </c>
      <c r="D48" s="34" t="n">
        <f aca="false">D7*Assumptions!$B$50*Assumptions!$B$6*(1+Assumptions!$B$8)</f>
        <v>295.0101</v>
      </c>
      <c r="E48" s="34" t="n">
        <f aca="false">E7*Assumptions!$B$50*Assumptions!$B$6*(1+Assumptions!$B$8)</f>
        <v>737.36916</v>
      </c>
      <c r="F48" s="34" t="n">
        <f aca="false">F7*Assumptions!$B$50*Assumptions!$B$6*(1+Assumptions!$B$8)</f>
        <v>1475.0505</v>
      </c>
      <c r="G48" s="34" t="n">
        <f aca="false">G7*Assumptions!$B$50*Assumptions!$B$6*(1+Assumptions!$B$8)</f>
        <v>2950.101</v>
      </c>
      <c r="H48" s="34" t="n">
        <f aca="false">H7*Assumptions!$B$50*Assumptions!$B$6*(1+Assumptions!$B$8)</f>
        <v>7375.2525</v>
      </c>
      <c r="I48" s="34" t="n">
        <f aca="false">I7*Assumptions!$B$50*Assumptions!$B$6*(1+Assumptions!$B$8)</f>
        <v>14750.505</v>
      </c>
    </row>
    <row r="49" customFormat="false" ht="15" hidden="false" customHeight="false" outlineLevel="0" collapsed="false">
      <c r="A49" s="8" t="s">
        <v>566</v>
      </c>
      <c r="B49" s="43" t="n">
        <f aca="false">B18-(B47+B48+B27+B28)</f>
        <v>-258.881048231444</v>
      </c>
      <c r="C49" s="43" t="n">
        <f aca="false">C18-(C47+C48+C27+C28)</f>
        <v>-361.391874394115</v>
      </c>
      <c r="D49" s="43" t="n">
        <f aca="false">D18-(D47+D48+D27+D28)</f>
        <v>-490.429399284364</v>
      </c>
      <c r="E49" s="43" t="n">
        <f aca="false">E18-(E47+E48+E27+E28)</f>
        <v>-1002.46454071821</v>
      </c>
      <c r="F49" s="43" t="n">
        <f aca="false">F18-(F47+F48+F27+F28)</f>
        <v>-1646.99596417719</v>
      </c>
      <c r="G49" s="43" t="n">
        <f aca="false">G18-(G47+G48+G27+G28)</f>
        <v>-2941.61024610975</v>
      </c>
      <c r="H49" s="43" t="n">
        <f aca="false">H18-(H47+H48+H27+H28)</f>
        <v>-7538.96952209917</v>
      </c>
      <c r="I49" s="43" t="n">
        <f aca="false">I18-(I47+I48+I27+I28)</f>
        <v>-14344.3021119537</v>
      </c>
    </row>
    <row r="50" customFormat="false" ht="15" hidden="false" customHeight="false" outlineLevel="0" collapsed="false">
      <c r="A50" s="69"/>
      <c r="B50" s="69"/>
      <c r="C50" s="69"/>
      <c r="D50" s="69"/>
      <c r="E50" s="69"/>
      <c r="F50" s="69"/>
      <c r="G50" s="69"/>
      <c r="H50" s="69"/>
      <c r="I50" s="69"/>
    </row>
    <row r="51" customFormat="false" ht="31.5" hidden="false" customHeight="true" outlineLevel="0" collapsed="false">
      <c r="A51" s="38" t="s">
        <v>567</v>
      </c>
      <c r="B51" s="38"/>
      <c r="C51" s="38"/>
      <c r="D51" s="38"/>
      <c r="E51" s="38"/>
      <c r="F51" s="38"/>
      <c r="G51" s="38"/>
      <c r="H51" s="38"/>
      <c r="I51" s="38"/>
    </row>
    <row r="52" customFormat="false" ht="31.5" hidden="false" customHeight="true" outlineLevel="0" collapsed="false">
      <c r="A52" s="38" t="s">
        <v>568</v>
      </c>
      <c r="B52" s="38"/>
      <c r="C52" s="38"/>
      <c r="D52" s="38"/>
      <c r="E52" s="38"/>
      <c r="F52" s="38"/>
      <c r="G52" s="38"/>
      <c r="H52" s="38"/>
      <c r="I52" s="38"/>
    </row>
    <row r="53" customFormat="false" ht="31.5" hidden="false" customHeight="true" outlineLevel="0" collapsed="false">
      <c r="A53" s="38" t="s">
        <v>569</v>
      </c>
      <c r="B53" s="38"/>
      <c r="C53" s="38"/>
      <c r="D53" s="38"/>
      <c r="E53" s="38"/>
      <c r="F53" s="38"/>
      <c r="G53" s="38"/>
      <c r="H53" s="38"/>
      <c r="I53" s="38"/>
    </row>
    <row r="54" customFormat="false" ht="15" hidden="false" customHeight="false" outlineLevel="0" collapsed="false">
      <c r="A54" s="69"/>
      <c r="B54" s="69"/>
      <c r="C54" s="69"/>
      <c r="D54" s="69"/>
      <c r="E54" s="69"/>
      <c r="F54" s="69"/>
      <c r="G54" s="69"/>
      <c r="H54" s="69"/>
      <c r="I54" s="69"/>
    </row>
    <row r="55" customFormat="false" ht="15" hidden="false" customHeight="false" outlineLevel="0" collapsed="false">
      <c r="A55" s="69"/>
      <c r="B55" s="69"/>
      <c r="C55" s="69"/>
      <c r="D55" s="69"/>
      <c r="E55" s="69"/>
      <c r="F55" s="69"/>
      <c r="G55" s="69"/>
      <c r="H55" s="69"/>
      <c r="I55" s="69"/>
    </row>
    <row r="56" customFormat="false" ht="15" hidden="false" customHeight="false" outlineLevel="0" collapsed="false">
      <c r="A56" s="69"/>
      <c r="B56" s="69"/>
      <c r="C56" s="69"/>
      <c r="D56" s="69"/>
      <c r="E56" s="69"/>
      <c r="F56" s="69"/>
      <c r="G56" s="69"/>
      <c r="H56" s="69"/>
      <c r="I56" s="69"/>
    </row>
    <row r="57" customFormat="false" ht="15" hidden="false" customHeight="false" outlineLevel="0" collapsed="false">
      <c r="A57" s="69"/>
      <c r="B57" s="69"/>
      <c r="C57" s="69"/>
      <c r="D57" s="69"/>
      <c r="E57" s="69"/>
      <c r="F57" s="69"/>
      <c r="G57" s="69"/>
      <c r="H57" s="69"/>
      <c r="I57" s="69"/>
    </row>
    <row r="58" customFormat="false" ht="15" hidden="false" customHeight="false" outlineLevel="0" collapsed="false">
      <c r="A58" s="69"/>
      <c r="B58" s="69"/>
      <c r="C58" s="69"/>
      <c r="D58" s="69"/>
      <c r="E58" s="69"/>
      <c r="F58" s="69"/>
      <c r="G58" s="69"/>
      <c r="H58" s="69"/>
      <c r="I58" s="69"/>
    </row>
    <row r="59" customFormat="false" ht="15" hidden="false" customHeight="false" outlineLevel="0" collapsed="false">
      <c r="A59" s="69"/>
      <c r="B59" s="69"/>
      <c r="C59" s="69"/>
      <c r="D59" s="69"/>
      <c r="E59" s="69"/>
      <c r="F59" s="69"/>
      <c r="G59" s="69"/>
      <c r="H59" s="69"/>
      <c r="I59" s="69"/>
    </row>
    <row r="60" customFormat="false" ht="15" hidden="false" customHeight="false" outlineLevel="0" collapsed="false">
      <c r="A60" s="69"/>
      <c r="B60" s="69"/>
      <c r="C60" s="69"/>
      <c r="D60" s="69"/>
      <c r="E60" s="69"/>
      <c r="F60" s="69"/>
      <c r="G60" s="69"/>
      <c r="H60" s="69"/>
      <c r="I60" s="69"/>
    </row>
  </sheetData>
  <mergeCells count="3">
    <mergeCell ref="A51:I51"/>
    <mergeCell ref="A52:I52"/>
    <mergeCell ref="A53:I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zeroHeight="false" outlineLevelRow="0" outlineLevelCol="0"/>
  <cols>
    <col collapsed="false" customWidth="true" hidden="false" outlineLevel="0" max="1" min="1" style="1" width="34"/>
    <col collapsed="false" customWidth="true" hidden="false" outlineLevel="0" max="2" min="2" style="1" width="22"/>
    <col collapsed="false" customWidth="true" hidden="false" outlineLevel="0" max="3" min="3" style="1" width="26"/>
    <col collapsed="false" customWidth="true" hidden="false" outlineLevel="0" max="4" min="4" style="1" width="24"/>
    <col collapsed="false" customWidth="true" hidden="false" outlineLevel="0" max="5" min="5" style="1" width="42"/>
    <col collapsed="false" customWidth="true" hidden="false" outlineLevel="0" max="6" min="6" style="1" width="52"/>
  </cols>
  <sheetData>
    <row r="1" customFormat="false" ht="17.35" hidden="false" customHeight="false" outlineLevel="0" collapsed="false">
      <c r="A1" s="2" t="s">
        <v>570</v>
      </c>
      <c r="B1" s="69"/>
      <c r="C1" s="69"/>
      <c r="D1" s="69"/>
      <c r="E1" s="69"/>
      <c r="F1" s="69"/>
    </row>
    <row r="2" customFormat="false" ht="15" hidden="false" customHeight="false" outlineLevel="0" collapsed="false">
      <c r="A2" s="41" t="s">
        <v>571</v>
      </c>
      <c r="B2" s="69"/>
      <c r="C2" s="69"/>
      <c r="D2" s="69"/>
      <c r="E2" s="69"/>
      <c r="F2" s="69"/>
    </row>
    <row r="3" customFormat="false" ht="15" hidden="false" customHeight="false" outlineLevel="0" collapsed="false">
      <c r="A3" s="69"/>
      <c r="B3" s="69"/>
      <c r="C3" s="69"/>
      <c r="D3" s="69"/>
      <c r="E3" s="69"/>
      <c r="F3" s="69"/>
    </row>
    <row r="4" customFormat="false" ht="30" hidden="false" customHeight="true" outlineLevel="0" collapsed="false">
      <c r="A4" s="19" t="s">
        <v>572</v>
      </c>
      <c r="B4" s="19" t="s">
        <v>573</v>
      </c>
      <c r="C4" s="19" t="s">
        <v>177</v>
      </c>
      <c r="D4" s="19" t="s">
        <v>180</v>
      </c>
      <c r="E4" s="19" t="s">
        <v>574</v>
      </c>
      <c r="F4" s="19" t="s">
        <v>575</v>
      </c>
    </row>
    <row r="5" customFormat="false" ht="55.5" hidden="false" customHeight="true" outlineLevel="0" collapsed="false">
      <c r="A5" s="70" t="s">
        <v>576</v>
      </c>
      <c r="B5" s="21" t="s">
        <v>577</v>
      </c>
      <c r="C5" s="21" t="s">
        <v>578</v>
      </c>
      <c r="D5" s="21" t="s">
        <v>579</v>
      </c>
      <c r="E5" s="21" t="s">
        <v>580</v>
      </c>
      <c r="F5" s="21" t="s">
        <v>581</v>
      </c>
    </row>
    <row r="6" customFormat="false" ht="55.5" hidden="false" customHeight="true" outlineLevel="0" collapsed="false">
      <c r="A6" s="70" t="s">
        <v>582</v>
      </c>
      <c r="B6" s="21" t="s">
        <v>583</v>
      </c>
      <c r="C6" s="21" t="s">
        <v>584</v>
      </c>
      <c r="D6" s="21" t="s">
        <v>585</v>
      </c>
      <c r="E6" s="21" t="s">
        <v>586</v>
      </c>
      <c r="F6" s="21" t="s">
        <v>587</v>
      </c>
    </row>
    <row r="7" customFormat="false" ht="55.5" hidden="false" customHeight="true" outlineLevel="0" collapsed="false">
      <c r="A7" s="70" t="s">
        <v>588</v>
      </c>
      <c r="B7" s="21" t="s">
        <v>589</v>
      </c>
      <c r="C7" s="21" t="s">
        <v>590</v>
      </c>
      <c r="D7" s="21" t="s">
        <v>591</v>
      </c>
      <c r="E7" s="21" t="s">
        <v>592</v>
      </c>
      <c r="F7" s="21" t="s">
        <v>593</v>
      </c>
    </row>
    <row r="8" customFormat="false" ht="55.5" hidden="false" customHeight="true" outlineLevel="0" collapsed="false">
      <c r="A8" s="70" t="s">
        <v>594</v>
      </c>
      <c r="B8" s="21" t="s">
        <v>595</v>
      </c>
      <c r="C8" s="21" t="s">
        <v>596</v>
      </c>
      <c r="D8" s="21" t="s">
        <v>198</v>
      </c>
      <c r="E8" s="21" t="s">
        <v>597</v>
      </c>
      <c r="F8" s="21" t="s">
        <v>598</v>
      </c>
    </row>
    <row r="9" customFormat="false" ht="55.5" hidden="false" customHeight="true" outlineLevel="0" collapsed="false">
      <c r="A9" s="70" t="s">
        <v>599</v>
      </c>
      <c r="B9" s="21" t="s">
        <v>600</v>
      </c>
      <c r="C9" s="21" t="s">
        <v>573</v>
      </c>
      <c r="D9" s="21" t="s">
        <v>573</v>
      </c>
      <c r="E9" s="21" t="s">
        <v>601</v>
      </c>
      <c r="F9" s="21" t="s">
        <v>602</v>
      </c>
    </row>
    <row r="10" customFormat="false" ht="55.5" hidden="false" customHeight="true" outlineLevel="0" collapsed="false">
      <c r="A10" s="70" t="s">
        <v>603</v>
      </c>
      <c r="B10" s="21" t="s">
        <v>604</v>
      </c>
      <c r="C10" s="21" t="s">
        <v>596</v>
      </c>
      <c r="D10" s="21" t="s">
        <v>605</v>
      </c>
      <c r="E10" s="21" t="s">
        <v>606</v>
      </c>
      <c r="F10" s="21" t="s">
        <v>607</v>
      </c>
    </row>
    <row r="11" customFormat="false" ht="55.5" hidden="false" customHeight="true" outlineLevel="0" collapsed="false">
      <c r="A11" s="70" t="s">
        <v>608</v>
      </c>
      <c r="B11" s="21" t="s">
        <v>609</v>
      </c>
      <c r="C11" s="21" t="s">
        <v>609</v>
      </c>
      <c r="D11" s="21" t="s">
        <v>605</v>
      </c>
      <c r="E11" s="21" t="s">
        <v>610</v>
      </c>
      <c r="F11" s="21" t="s">
        <v>611</v>
      </c>
    </row>
    <row r="12" customFormat="false" ht="55.5" hidden="false" customHeight="true" outlineLevel="0" collapsed="false">
      <c r="A12" s="70" t="s">
        <v>612</v>
      </c>
      <c r="B12" s="21" t="s">
        <v>613</v>
      </c>
      <c r="C12" s="21" t="s">
        <v>596</v>
      </c>
      <c r="D12" s="21" t="s">
        <v>605</v>
      </c>
      <c r="E12" s="21" t="s">
        <v>614</v>
      </c>
      <c r="F12" s="21" t="s">
        <v>615</v>
      </c>
    </row>
    <row r="13" customFormat="false" ht="55.5" hidden="false" customHeight="true" outlineLevel="0" collapsed="false">
      <c r="A13" s="70" t="s">
        <v>616</v>
      </c>
      <c r="B13" s="21" t="s">
        <v>267</v>
      </c>
      <c r="C13" s="21" t="s">
        <v>267</v>
      </c>
      <c r="D13" s="21" t="s">
        <v>605</v>
      </c>
      <c r="E13" s="21" t="s">
        <v>617</v>
      </c>
      <c r="F13" s="21" t="s">
        <v>618</v>
      </c>
    </row>
    <row r="14" customFormat="false" ht="55.5" hidden="false" customHeight="true" outlineLevel="0" collapsed="false">
      <c r="A14" s="70" t="s">
        <v>619</v>
      </c>
      <c r="B14" s="21" t="s">
        <v>620</v>
      </c>
      <c r="C14" s="21" t="s">
        <v>596</v>
      </c>
      <c r="D14" s="21" t="s">
        <v>605</v>
      </c>
      <c r="E14" s="21" t="s">
        <v>621</v>
      </c>
      <c r="F14" s="21" t="s">
        <v>622</v>
      </c>
    </row>
    <row r="15" customFormat="false" ht="55.5" hidden="false" customHeight="true" outlineLevel="0" collapsed="false">
      <c r="A15" s="70" t="s">
        <v>623</v>
      </c>
      <c r="B15" s="21" t="s">
        <v>624</v>
      </c>
      <c r="C15" s="21" t="s">
        <v>624</v>
      </c>
      <c r="D15" s="21" t="s">
        <v>625</v>
      </c>
      <c r="E15" s="21" t="s">
        <v>626</v>
      </c>
      <c r="F15" s="21" t="s">
        <v>627</v>
      </c>
    </row>
    <row r="16" customFormat="false" ht="55.5" hidden="false" customHeight="true" outlineLevel="0" collapsed="false">
      <c r="A16" s="70" t="s">
        <v>628</v>
      </c>
      <c r="B16" s="21" t="s">
        <v>629</v>
      </c>
      <c r="C16" s="21" t="s">
        <v>596</v>
      </c>
      <c r="D16" s="21" t="s">
        <v>630</v>
      </c>
      <c r="E16" s="21" t="s">
        <v>617</v>
      </c>
      <c r="F16" s="21" t="s">
        <v>631</v>
      </c>
    </row>
    <row r="17" customFormat="false" ht="55.5" hidden="false" customHeight="true" outlineLevel="0" collapsed="false">
      <c r="A17" s="70" t="s">
        <v>632</v>
      </c>
      <c r="B17" s="21" t="s">
        <v>633</v>
      </c>
      <c r="C17" s="21" t="s">
        <v>596</v>
      </c>
      <c r="D17" s="21" t="s">
        <v>630</v>
      </c>
      <c r="E17" s="21" t="s">
        <v>617</v>
      </c>
      <c r="F17" s="21" t="s">
        <v>634</v>
      </c>
    </row>
    <row r="18" customFormat="false" ht="55.5" hidden="false" customHeight="true" outlineLevel="0" collapsed="false">
      <c r="A18" s="70" t="s">
        <v>635</v>
      </c>
      <c r="B18" s="21" t="s">
        <v>636</v>
      </c>
      <c r="C18" s="21" t="s">
        <v>637</v>
      </c>
      <c r="D18" s="21" t="s">
        <v>638</v>
      </c>
      <c r="E18" s="21" t="s">
        <v>639</v>
      </c>
      <c r="F18" s="21" t="s">
        <v>640</v>
      </c>
    </row>
    <row r="19" customFormat="false" ht="55.5" hidden="false" customHeight="true" outlineLevel="0" collapsed="false">
      <c r="A19" s="70" t="s">
        <v>641</v>
      </c>
      <c r="B19" s="21" t="s">
        <v>642</v>
      </c>
      <c r="C19" s="21" t="s">
        <v>643</v>
      </c>
      <c r="D19" s="21" t="s">
        <v>644</v>
      </c>
      <c r="E19" s="21" t="s">
        <v>645</v>
      </c>
      <c r="F19" s="21"/>
    </row>
    <row r="20" customFormat="false" ht="55.5" hidden="false" customHeight="true" outlineLevel="0" collapsed="false">
      <c r="A20" s="70" t="s">
        <v>646</v>
      </c>
      <c r="B20" s="21" t="s">
        <v>647</v>
      </c>
      <c r="C20" s="21" t="s">
        <v>648</v>
      </c>
      <c r="D20" s="21" t="s">
        <v>649</v>
      </c>
      <c r="E20" s="21" t="s">
        <v>650</v>
      </c>
      <c r="F20" s="21" t="s">
        <v>651</v>
      </c>
    </row>
    <row r="21" customFormat="false" ht="55.5" hidden="false" customHeight="true" outlineLevel="0" collapsed="false">
      <c r="A21" s="70" t="s">
        <v>652</v>
      </c>
      <c r="B21" s="21" t="s">
        <v>653</v>
      </c>
      <c r="C21" s="21" t="s">
        <v>654</v>
      </c>
      <c r="D21" s="21" t="s">
        <v>655</v>
      </c>
      <c r="E21" s="21" t="s">
        <v>656</v>
      </c>
      <c r="F21" s="21" t="s">
        <v>657</v>
      </c>
    </row>
    <row r="22" customFormat="false" ht="55.5" hidden="false" customHeight="true" outlineLevel="0" collapsed="false">
      <c r="A22" s="70" t="s">
        <v>658</v>
      </c>
      <c r="B22" s="21" t="s">
        <v>659</v>
      </c>
      <c r="C22" s="21" t="s">
        <v>659</v>
      </c>
      <c r="D22" s="21" t="s">
        <v>660</v>
      </c>
      <c r="E22" s="21" t="s">
        <v>617</v>
      </c>
      <c r="F22" s="21" t="s">
        <v>661</v>
      </c>
    </row>
    <row r="23" customFormat="false" ht="55.5" hidden="false" customHeight="true" outlineLevel="0" collapsed="false">
      <c r="A23" s="70" t="s">
        <v>662</v>
      </c>
      <c r="B23" s="21" t="s">
        <v>198</v>
      </c>
      <c r="C23" s="21" t="s">
        <v>663</v>
      </c>
      <c r="D23" s="21" t="s">
        <v>663</v>
      </c>
      <c r="E23" s="21" t="s">
        <v>198</v>
      </c>
      <c r="F23" s="21" t="s">
        <v>602</v>
      </c>
    </row>
    <row r="24" customFormat="false" ht="55.5" hidden="false" customHeight="true" outlineLevel="0" collapsed="false">
      <c r="A24" s="70" t="s">
        <v>664</v>
      </c>
      <c r="B24" s="21" t="s">
        <v>198</v>
      </c>
      <c r="C24" s="21" t="s">
        <v>665</v>
      </c>
      <c r="D24" s="21" t="s">
        <v>665</v>
      </c>
      <c r="E24" s="21" t="s">
        <v>198</v>
      </c>
      <c r="F24" s="21" t="s">
        <v>666</v>
      </c>
    </row>
    <row r="25" customFormat="false" ht="55.5" hidden="false" customHeight="true" outlineLevel="0" collapsed="false">
      <c r="A25" s="70" t="s">
        <v>667</v>
      </c>
      <c r="B25" s="21" t="s">
        <v>198</v>
      </c>
      <c r="C25" s="21" t="s">
        <v>668</v>
      </c>
      <c r="D25" s="21" t="s">
        <v>668</v>
      </c>
      <c r="E25" s="21" t="s">
        <v>617</v>
      </c>
      <c r="F25" s="21" t="s">
        <v>669</v>
      </c>
    </row>
    <row r="26" customFormat="false" ht="55.5" hidden="false" customHeight="true" outlineLevel="0" collapsed="false">
      <c r="A26" s="70" t="s">
        <v>670</v>
      </c>
      <c r="B26" s="21" t="s">
        <v>198</v>
      </c>
      <c r="C26" s="21" t="s">
        <v>671</v>
      </c>
      <c r="D26" s="21" t="s">
        <v>672</v>
      </c>
      <c r="E26" s="21" t="s">
        <v>617</v>
      </c>
      <c r="F26" s="21" t="s">
        <v>673</v>
      </c>
    </row>
    <row r="27" customFormat="false" ht="55.5" hidden="false" customHeight="true" outlineLevel="0" collapsed="false">
      <c r="A27" s="70" t="s">
        <v>674</v>
      </c>
      <c r="B27" s="21" t="s">
        <v>198</v>
      </c>
      <c r="C27" s="21" t="s">
        <v>675</v>
      </c>
      <c r="D27" s="21" t="s">
        <v>676</v>
      </c>
      <c r="E27" s="21" t="s">
        <v>677</v>
      </c>
      <c r="F27" s="21" t="s">
        <v>602</v>
      </c>
    </row>
    <row r="28" customFormat="false" ht="55.5" hidden="false" customHeight="true" outlineLevel="0" collapsed="false">
      <c r="A28" s="70" t="s">
        <v>678</v>
      </c>
      <c r="B28" s="21" t="s">
        <v>198</v>
      </c>
      <c r="C28" s="21" t="s">
        <v>679</v>
      </c>
      <c r="D28" s="21" t="s">
        <v>679</v>
      </c>
      <c r="E28" s="21" t="s">
        <v>617</v>
      </c>
      <c r="F28" s="21" t="s">
        <v>602</v>
      </c>
    </row>
    <row r="29" customFormat="false" ht="15" hidden="false" customHeight="false" outlineLevel="0" collapsed="false">
      <c r="A29" s="69"/>
      <c r="B29" s="69"/>
      <c r="C29" s="69"/>
      <c r="D29" s="69"/>
      <c r="E29" s="69"/>
      <c r="F29" s="69"/>
    </row>
    <row r="30" customFormat="false" ht="15" hidden="false" customHeight="false" outlineLevel="0" collapsed="false">
      <c r="A30" s="14" t="s">
        <v>680</v>
      </c>
      <c r="B30" s="14"/>
      <c r="C30" s="14"/>
      <c r="D30" s="14"/>
      <c r="E30" s="14"/>
      <c r="F30" s="14"/>
    </row>
    <row r="31" customFormat="false" ht="31.5" hidden="false" customHeight="true" outlineLevel="0" collapsed="false">
      <c r="A31" s="6" t="n">
        <v>1</v>
      </c>
      <c r="B31" s="38" t="s">
        <v>681</v>
      </c>
      <c r="C31" s="38"/>
      <c r="D31" s="38"/>
      <c r="E31" s="38"/>
      <c r="F31" s="38"/>
    </row>
    <row r="32" customFormat="false" ht="31.5" hidden="false" customHeight="true" outlineLevel="0" collapsed="false">
      <c r="A32" s="6" t="n">
        <v>2</v>
      </c>
      <c r="B32" s="38" t="s">
        <v>682</v>
      </c>
      <c r="C32" s="38"/>
      <c r="D32" s="38"/>
      <c r="E32" s="38"/>
      <c r="F32" s="38"/>
    </row>
    <row r="33" customFormat="false" ht="31.5" hidden="false" customHeight="true" outlineLevel="0" collapsed="false">
      <c r="A33" s="6" t="n">
        <v>3</v>
      </c>
      <c r="B33" s="38" t="s">
        <v>683</v>
      </c>
      <c r="C33" s="38"/>
      <c r="D33" s="38"/>
      <c r="E33" s="38"/>
      <c r="F33" s="38"/>
    </row>
    <row r="34" customFormat="false" ht="31.5" hidden="false" customHeight="true" outlineLevel="0" collapsed="false">
      <c r="A34" s="6" t="n">
        <v>4</v>
      </c>
      <c r="B34" s="38" t="s">
        <v>684</v>
      </c>
      <c r="C34" s="38"/>
      <c r="D34" s="38"/>
      <c r="E34" s="38"/>
      <c r="F34" s="38"/>
    </row>
    <row r="35" customFormat="false" ht="31.5" hidden="false" customHeight="true" outlineLevel="0" collapsed="false">
      <c r="A35" s="6" t="n">
        <v>5</v>
      </c>
      <c r="B35" s="38" t="s">
        <v>685</v>
      </c>
      <c r="C35" s="38"/>
      <c r="D35" s="38"/>
      <c r="E35" s="38"/>
      <c r="F35" s="38"/>
    </row>
    <row r="36" customFormat="false" ht="31.5" hidden="false" customHeight="true" outlineLevel="0" collapsed="false">
      <c r="A36" s="6" t="n">
        <v>6</v>
      </c>
      <c r="B36" s="38" t="s">
        <v>686</v>
      </c>
      <c r="C36" s="38"/>
      <c r="D36" s="38"/>
      <c r="E36" s="38"/>
      <c r="F36" s="38"/>
    </row>
    <row r="37" customFormat="false" ht="15" hidden="false" customHeight="false" outlineLevel="0" collapsed="false">
      <c r="A37" s="69"/>
      <c r="B37" s="69"/>
      <c r="C37" s="69"/>
      <c r="D37" s="69"/>
      <c r="E37" s="69"/>
      <c r="F37" s="69"/>
    </row>
    <row r="38" customFormat="false" ht="15" hidden="false" customHeight="false" outlineLevel="0" collapsed="false">
      <c r="A38" s="69"/>
      <c r="B38" s="69"/>
      <c r="C38" s="69"/>
      <c r="D38" s="69"/>
      <c r="E38" s="69"/>
      <c r="F38" s="69"/>
    </row>
    <row r="39" customFormat="false" ht="15" hidden="false" customHeight="false" outlineLevel="0" collapsed="false">
      <c r="A39" s="69"/>
      <c r="B39" s="69"/>
      <c r="C39" s="69"/>
      <c r="D39" s="69"/>
      <c r="E39" s="69"/>
      <c r="F39" s="69"/>
    </row>
    <row r="40" customFormat="false" ht="15" hidden="false" customHeight="false" outlineLevel="0" collapsed="false">
      <c r="A40" s="69"/>
      <c r="B40" s="69"/>
      <c r="C40" s="69"/>
      <c r="D40" s="69"/>
      <c r="E40" s="69"/>
      <c r="F40" s="69"/>
    </row>
  </sheetData>
  <mergeCells count="6">
    <mergeCell ref="B31:F31"/>
    <mergeCell ref="B32:F32"/>
    <mergeCell ref="B33:F33"/>
    <mergeCell ref="B34:F34"/>
    <mergeCell ref="B35:F35"/>
    <mergeCell ref="B36:F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2026-09-29T12:50:17Z</dcterms:created>
  <dc:creator>openpyxl</dc:creator>
  <dc:description/>
  <dc:language>en-US</dc:language>
  <cp:lastModifiedBy/>
  <dcterms:modified xsi:type="dcterms:W3CDTF">2026-10-26T15:16:25Z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