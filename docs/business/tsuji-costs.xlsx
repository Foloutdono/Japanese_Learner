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Offer review"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<sst xmlns="http://schemas.openxmlformats.org/spreadsheetml/2006/main" count="953" uniqueCount="729">
  <si>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</si>
  <si>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</si>
  <si>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</si>
  <si>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</si>
  <si>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</si>
  <si>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</si>
  <si>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</si>
  <si>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</si>
  <si>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</si>
  <si>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</si>
  <si>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</si>
  <si>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</si>
  <si>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</si>
  <si>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</si>
  <si>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</si>
  <si>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</si>
  <si>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</si>
  <si>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</si>
  <si>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</si>
  <si>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</si>
  <si>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</si>
  <si>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</si>
  <si>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</si>
  <si>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</si>
  <si>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</si>
  <si>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</si>
  <si>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</si>
  <si>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</si>
  <si>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</si>
  <si>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</si>
  <si>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</si>
  <si>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</si>
  <si>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</si>
  <si>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</si>
  <si>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</si>
  <si>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</si>
  <si>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</si>
  <si>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</si>
  <si>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</si>
  <si>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</si>
  <si>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</si>
  <si>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</si>
  <si>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</si>
  <si>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</si>
  <si>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</si>
  <si>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</si>
  <si>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</si>
  <si>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</si>
  <si>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</si>
  <si>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</si>
  <si>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</si>
  <si>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</si>
  <si>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</si>
  <si>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</si>
  <si>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</si>
  <si>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</si>
  <si>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</si>
  <si>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</si>
  <si>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</si>
  <si>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</si>
  <si>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</si>
  <si>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</si>
  <si>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</si>
  <si>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</si>
  <si>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</si>
  <si>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</si>
  <si>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</si>
  <si>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</si>
  <si>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</si>
  <si>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</si>
  <si>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</si>
  <si>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</si>
  <si>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</si>
  <si>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</si>
  <si>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</si>
  <si>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</si>
  <si>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</si>
  <si>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</si>
  <si>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</si>
  <si>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</si>
  <si>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</si>
  <si>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</si>
  <si>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</si>
  <si>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</si>
  <si>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</si>
  <si>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</si>
  <si>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</si>
  <si>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</si>
  <si>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</si>
  <si>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</si>
  <si>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</si>
  <si>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</si>
  <si>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</si>
  <si>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</si>
  <si>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</si>
  <si>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</si>
  <si>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</si>
  <si>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</si>
  <si>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</si>
  <si>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</si>
  <si>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</si>
  <si>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</si>
  <si>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</si>
  <si>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</si>
  <si>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</si>
  <si>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</si>
  <si>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</si>
  <si>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</si>
  <si>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Owner, 27 Oct 2026: early-access learners use little AI, so lowered from $0.27 (llm_cost_model.py, light-heavy blend). Replace with scripts/llm_usage_report.py.</t>
  </si>
  <si>
    <t xml:space="preserve">LLM cost – Pro user, worst case</t>
  </si>
  <si>
    <t xml:space="preserve">From 'AI worst case' (full-price tier): every AI allowance used to the full, every day.</t>
  </si>
  <si>
    <t xml:space="preserve">LLM cost – Max user, expected</t>
  </si>
  <si>
    <t xml:space="preserve">Lowered from $0.44 for the same reason (owner, 27 Oct 2026). Replace with the usage report.</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</si>
  <si>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</si>
  <si>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</si>
  <si>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</si>
  <si>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</si>
  <si>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</si>
  <si>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</si>
  <si>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</si>
  <si>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</si>
  <si>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</si>
  <si>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</si>
  <si>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</si>
  <si>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</si>
  <si>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</si>
  <si>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</si>
  <si>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</si>
  <si>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</si>
  <si>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</si>
  <si>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</si>
  <si>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</si>
  <si>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</si>
  <si>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</si>
  <si>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</si>
  <si>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</si>
  <si>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</si>
  <si>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</si>
  <si>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</si>
  <si>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</si>
  <si>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</si>
  <si>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</si>
  <si>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</si>
  <si>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(monthly or annual)</t>
  </si>
  <si>
    <t xml:space="preserve">Owner's decision, 26-27 Oct 2026: −25% on the first year of any plan, monthly or annual, and one month of Max free, on every platform, for every account created before sales open.</t>
  </si>
  <si>
    <t xml:space="preserve">Founder offer: share of payers in their founder year</t>
  </si>
  <si>
    <t xml:space="preserve">The cohort is closed (~100 accounts): at break-even about 10 of the ~70 payers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</si>
  <si>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</si>
  <si>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</si>
  <si>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</si>
  <si>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</si>
  <si>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</si>
  <si>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120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</si>
  <si>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</si>
  <si>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</si>
  <si>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</si>
  <si>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</si>
  <si>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</si>
  <si>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</si>
  <si>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</si>
  <si>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</si>
  <si>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</si>
  <si>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</si>
  <si>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</si>
  <si>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Database, 27 Oct 2026: learners active on 2 days or more in the last 30 (181 on at least one day, 21 on 3 or more). MAU here and in every sheet means that: a learner seen once is not a learner yet.</t>
  </si>
  <si>
    <t xml:space="preserve">Sales open (end of early access)</t>
  </si>
  <si>
    <t xml:space="preserve">date</t>
  </si>
  <si>
    <t xml:space="preserve">Owner, 26 Oct 2026: in about two weeks.</t>
  </si>
  <si>
    <t xml:space="preserve">Target date for break-even (fixed costs covered)</t>
  </si>
  <si>
    <t xml:space="preserve">Owner, 27 Oct 2026: more ambitious than the 30 June 2027 first proposed.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</si>
  <si>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</si>
  <si>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</si>
  <si>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</si>
  <si>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</si>
  <si>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</si>
  <si>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</si>
  <si>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</si>
  <si>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a month of Max (owner, 27 Oct 2026); it only costs what an active account uses.</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</si>
  <si>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</si>
  <si>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</si>
  <si>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</si>
  <si>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</si>
  <si>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</si>
  <si>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</si>
  <si>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</si>
  <si>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</si>
  <si>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</si>
  <si>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</si>
  <si>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</si>
  <si>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</si>
  <si>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</si>
  <si>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</si>
  <si>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</si>
  <si>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</si>
  <si>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</si>
  <si>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</si>
  <si>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</si>
  <si>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</si>
  <si>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</si>
  <si>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</si>
  <si>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</si>
  <si>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</si>
  <si>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</si>
  <si>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</si>
  <si>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</si>
  <si>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</si>
  <si>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</si>
  <si>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</si>
  <si>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</si>
  <si>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</si>
  <si>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</si>
  <si>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</si>
  <si>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</si>
  <si>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</si>
  <si>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</si>
  <si>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</si>
  <si>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</si>
  <si>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</si>
  <si>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</si>
  <si>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</si>
  <si>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</si>
  <si>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</si>
  <si>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</si>
  <si>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</si>
  <si>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</si>
  <si>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</si>
  <si>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</si>
  <si>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</si>
  <si>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</si>
  <si>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</si>
  <si>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</si>
  <si>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</si>
  <si>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</si>
  <si>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</si>
  <si>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</si>
  <si>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</si>
  <si>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</si>
  <si>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</si>
  <si>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</si>
  <si>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</si>
  <si>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</si>
  <si>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</si>
  <si>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</si>
  <si>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</si>
  <si>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</si>
  <si>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</si>
  <si>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</si>
  <si>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</si>
  <si>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</si>
  <si>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</si>
  <si>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</si>
  <si>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</si>
  <si>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</si>
  <si>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</si>
  <si>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</si>
  <si>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</si>
  <si>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any plan, and one month of Max free, every platform</t>
  </si>
  <si>
    <t xml:space="preserve">Full price (€)</t>
  </si>
  <si>
    <t xml:space="preserve">Founder price (€)</t>
  </si>
  <si>
    <t xml:space="preserve">Worst-case margin in-app (€/mo)</t>
  </si>
  <si>
    <t xml:space="preserve">Worst-case margin on the web, VAT-exempt (€/mo)</t>
  </si>
  <si>
    <t xml:space="preserve">Holds in-app?</t>
  </si>
  <si>
    <t xml:space="preserve">Holds on the web?</t>
  </si>
  <si>
    <t xml:space="preserve">Pro annual</t>
  </si>
  <si>
    <t xml:space="preserve">Max annual</t>
  </si>
  <si>
    <t xml:space="preserve">Pro monthly</t>
  </si>
  <si>
    <t xml:space="preserve">Max monthly</t>
  </si>
  <si>
    <t xml:space="preserve">Founder prices are rounded UP to a .99 store price point: Pro monthly €3.99 is −20% (owner's choice, 27 Oct 2026). In-app a founder year can lose on a learner who maxes every AI allowance; the cohort is closed (accounts created before sales open), so the loss is bounded: below.</t>
  </si>
  <si>
    <t xml:space="preserve">Founder rules to write: who qualifies (an account created before sales open), the month of Max (from when), the discount on the first year only, then the regular price with a reminder 30 days before renewal.</t>
  </si>
  <si>
    <t xml:space="preserve">Founder cohort, worst case a month (every founder payer maxes the AI in-app)</t>
  </si>
  <si>
    <t xml:space="preserve">The month of Max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</si>
  <si>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</si>
  <si>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</si>
  <si>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</si>
  <si>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</si>
  <si>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</si>
  <si>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</si>
  <si>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</si>
  <si>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</si>
  <si>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</si>
  <si>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</si>
  <si>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average price of one unit (sentence, text, scenario) below</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</si>
  <si>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</si>
  <si>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</si>
  <si>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</si>
  <si>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</si>
  <si>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</si>
  <si>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</si>
  <si>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</si>
  <si>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</si>
  <si>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</si>
  <si>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</si>
  <si>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</si>
  <si>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</si>
  <si>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</si>
  <si>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</si>
  <si>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</si>
  <si>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</si>
  <si>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</si>
  <si>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</si>
  <si>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</si>
  <si>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</si>
  <si>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</si>
  <si>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</si>
  <si>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</si>
  <si>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</si>
  <si>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</si>
  <si>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</si>
  <si>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</si>
  <si>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</si>
  <si>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</si>
  <si>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</si>
  <si>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</si>
  <si>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</si>
  <si>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65 a day: three daily missions of 15 and a bonus of 10 for all three (55), and weekly missions worth about 70 (10 a day). A practice exercise asked by a mission costs nothing.</t>
  </si>
  <si>
    <t xml:space="preserve">What a credit buys (owner's decisions, 27 Oct 2026). Max: everything included; inside a mission: free</t>
  </si>
  <si>
    <t xml:space="preserve">Action</t>
  </si>
  <si>
    <t xml:space="preserve">Note</t>
  </si>
  <si>
    <t xml:space="preserve">New card (kana, vocab, kanji, grammar), Free and Pro</t>
  </si>
  <si>
    <t xml:space="preserve">A due review: 1 on Free, free on Pro.</t>
  </si>
  <si>
    <t xml:space="preserve">Reading (one sentence)</t>
  </si>
  <si>
    <t xml:space="preserve">Comprehension (one text)</t>
  </si>
  <si>
    <t xml:space="preserve">From the hand-written texts; no new text is generated.</t>
  </si>
  <si>
    <t xml:space="preserve">Dictation (one sentence)</t>
  </si>
  <si>
    <t xml:space="preserve">Translation (one sentence)</t>
  </si>
  <si>
    <t xml:space="preserve">Past the AI cap, graded by the learner.</t>
  </si>
  <si>
    <t xml:space="preserve">Composition (one sentence)</t>
  </si>
  <si>
    <t xml:space="preserve">Past the AI cap, without the tutor.</t>
  </si>
  <si>
    <t xml:space="preserve">Conversation (one scenario)</t>
  </si>
  <si>
    <t xml:space="preserve">Past the AI cap, Choose and Translate go on.</t>
  </si>
  <si>
    <t xml:space="preserve">Mock exam (one paper)</t>
  </si>
  <si>
    <t xml:space="preserve">From the seeded papers; no new paper is generated.</t>
  </si>
  <si>
    <t xml:space="preserve">Duel with a friend</t>
  </si>
  <si>
    <t xml:space="preserve">Free, to build ties between learners.</t>
  </si>
  <si>
    <t xml:space="preserve">Duel with anyone else</t>
  </si>
  <si>
    <t xml:space="preserve">Score free; details and corrections: 1 credit.</t>
  </si>
  <si>
    <t xml:space="preserve">Solo game</t>
  </si>
  <si>
    <t xml:space="preserve">Depends on the game (end of November 2026).</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</si>
  <si>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</si>
  <si>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</si>
  <si>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</si>
  <si>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</si>
  <si>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</si>
  <si>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</si>
  <si>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</si>
  <si>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</si>
  <si>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</si>
  <si>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</si>
  <si>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</si>
  <si>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</si>
  <si>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</si>
  <si>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</si>
  <si>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</si>
  <si>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</si>
  <si>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</si>
  <si>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</si>
  <si>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</si>
  <si>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</si>
  <si>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</si>
  <si>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</si>
  <si>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</si>
  <si>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</si>
  <si>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</si>
  <si>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</si>
  <si>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</si>
  <si>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</si>
  <si>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</si>
  <si>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</si>
  <si>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</si>
  <si>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Removed (owner, 27 Oct 2026): the seeded papers stay, 2 credits an exam. TODAY: 5 new papers a day.</t>
  </si>
  <si>
    <t xml:space="preserve">New comprehension text generated</t>
  </si>
  <si>
    <t xml:space="preserve">day</t>
  </si>
  <si>
    <t xml:space="preserve">Removed (owner, 27 Oct 2026): the 30–60 hand-written texts a level stay. TODAY: 10 a day.</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</si>
  <si>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</si>
  <si>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</si>
  <si>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</si>
  <si>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</si>
  <si>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</si>
  <si>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</si>
  <si>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</si>
  <si>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</si>
  <si>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</si>
  <si>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</si>
  <si>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</si>
  <si>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</si>
  <si>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</si>
  <si>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</si>
  <si>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</si>
  <si>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</si>
  <si>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</si>
  <si>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</si>
  <si>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</si>
  <si>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</si>
  <si>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</si>
  <si>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</si>
  <si>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</si>
  <si>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</si>
  <si>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</si>
  <si>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</si>
  <si>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</si>
  <si>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</si>
  <si>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</si>
  <si>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</si>
  <si>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</si>
  <si>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</si>
  <si>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</si>
  <si>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</si>
  <si>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</si>
  <si>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</si>
  <si>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</si>
  <si>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</si>
  <si>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</si>
  <si>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</si>
  <si>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</si>
  <si>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</si>
  <si>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</si>
  <si>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</si>
  <si>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</si>
  <si>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</si>
  <si>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</si>
  <si>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</si>
  <si>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</si>
  <si>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</si>
  <si>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</si>
  <si>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</si>
  <si>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</si>
  <si>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</si>
  <si>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</si>
  <si>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</si>
  <si>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</si>
  <si>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</si>
  <si>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</si>
  <si>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</si>
  <si>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</si>
  <si>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</si>
  <si>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</si>
  <si>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</si>
  <si>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</si>
  <si>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</si>
  <si>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</si>
  <si>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</si>
  <si>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</si>
  <si>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</si>
  <si>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</si>
  <si>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</si>
  <si>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</si>
  <si>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</si>
  <si>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</si>
  <si>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</si>
  <si>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</si>
  <si>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</si>
  <si>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</si>
  <si>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</si>
  <si>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</si>
  <si>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</si>
  <si>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</si>
  <si>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</si>
  <si>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</si>
  <si>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</si>
  <si>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</si>
  <si>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</si>
  <si>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</si>
  <si>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</si>
  <si>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</si>
  <si>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</si>
  <si>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</si>
  <si>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</si>
  <si>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</si>
  <si>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</si>
  <si>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</si>
  <si>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</si>
  <si>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</si>
  <si>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</si>
  <si>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</si>
  <si>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</si>
  <si>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</si>
  <si>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</si>
  <si>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</si>
  <si>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</si>
  <si>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</si>
  <si>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</si>
  <si>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</si>
  <si>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</si>
  <si>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</si>
  <si>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</si>
  <si>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</si>
  <si>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</si>
  <si>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</si>
  <si>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</si>
  <si>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</si>
  <si>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Generation of new exam papers and comprehension texts removed (owner, 27 Oct 2026): the pools are the hand-written seeds.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</si>
  <si>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</si>
  <si>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</si>
  <si>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</si>
  <si>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</si>
  <si>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</si>
  <si>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</si>
  <si>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</si>
  <si>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</si>
  <si>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</si>
  <si>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</si>
  <si>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</si>
  <si>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</si>
  <si>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</si>
  <si>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</si>
  <si>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</si>
  <si>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</si>
  <si>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</si>
  <si>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</si>
  <si>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</si>
  <si>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Owner, 27 Oct 2026: a cost of the business, expected to drop at the end of 2026 once the app is well advanced. Enter the new figure then.</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</si>
  <si>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</si>
  <si>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</si>
  <si>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</si>
  <si>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</si>
  <si>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</si>
  <si>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</si>
  <si>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</si>
  <si>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every plan carries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</si>
  <si>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</si>
  <si>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</si>
  <si>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</si>
  <si>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</si>
  <si>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</si>
  <si>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</si>
  <si>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</si>
  <si>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</si>
  <si>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</si>
  <si>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</si>
  <si>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</si>
  <si>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</si>
  <si>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</si>
  <si>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</si>
  <si>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</si>
  <si>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</si>
  <si>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</si>
  <si>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</si>
  <si>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</si>
  <si>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</si>
  <si>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</si>
  <si>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</si>
  <si>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</si>
  <si>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</si>
  <si>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</si>
  <si>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</si>
  <si>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</si>
  <si>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</si>
  <si>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</si>
  <si>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</si>
  <si>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</si>
  <si>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</si>
  <si>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</si>
  <si>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</si>
  <si>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</si>
  <si>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</si>
  <si>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</si>
  <si>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</si>
  <si>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</si>
  <si>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</si>
  <si>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</si>
  <si>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</si>
  <si>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</si>
  <si>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</si>
  <si>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</si>
  <si>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</si>
  <si>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</si>
  <si>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</si>
  <si>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</si>
  <si>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</si>
  <si>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</si>
  <si>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</si>
  <si>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</si>
  <si>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</si>
  <si>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</si>
  <si>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</si>
  <si>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</si>
  <si>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</si>
  <si>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</si>
  <si>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</si>
  <si>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</si>
  <si>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</si>
  <si>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</si>
  <si>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</si>
  <si>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</si>
  <si>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</si>
  <si>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</si>
  <si>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</si>
  <si>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</si>
  <si>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</si>
  <si>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</si>
  <si>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</si>
  <si>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</si>
  <si>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</si>
  <si>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</si>
  <si>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</si>
  <si>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</si>
  <si>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</si>
  <si>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</si>
  <si>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</si>
  <si>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</si>
  <si>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</si>
  <si>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</si>
  <si>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</si>
  <si>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</si>
  <si>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</si>
  <si>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</si>
  <si>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</si>
  <si>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</si>
  <si>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</si>
  <si>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</si>
  <si>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</si>
  <si>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</si>
  <si>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</si>
  <si>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</si>
  <si>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</si>
  <si>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</si>
  <si>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</si>
  <si>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</si>
  <si>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</si>
  <si>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</si>
  <si>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</si>
  <si>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</si>
  <si>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</si>
  <si>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</si>
  <si>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</si>
  <si>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</si>
  <si>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</si>
  <si>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</si>
  <si>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</si>
  <si>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</si>
  <si>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</si>
  <si>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</si>
  <si>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</si>
  <si>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</si>
  <si>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60 a day; the refill stops at 90</t>
  </si>
  <si>
    <t xml:space="preserve">120 a day; the refill stops at 200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</si>
  <si>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</si>
  <si>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</si>
  <si>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</si>
  <si>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</si>
  <si>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</si>
  <si>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</si>
  <si>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</si>
  <si>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</si>
  <si>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</si>
  <si>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</si>
  <si>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</si>
  <si>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</si>
  <si>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</si>
  <si>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</si>
  <si>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</si>
  <si>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</si>
  <si>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</si>
  <si>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</si>
  <si>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</si>
  <si>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Per sentence: reading, dictation, translation, composition 1. Per text: comprehension 2. Per scenario: conversation 2. Free inside a mission</t>
  </si>
  <si>
    <t xml:space="preserve">Pass only; practice never spends credits.</t>
  </si>
  <si>
    <t xml:space="preserve">Decided ('Credit shop').</t>
  </si>
  <si>
    <t xml:space="preserve">Solo games (end Nov 2026)</t>
  </si>
  <si>
    <t xml:space="preserve">Not built.</t>
  </si>
  <si>
    <t xml:space="preserve">Price per game to set.</t>
  </si>
  <si>
    <t xml:space="preserve">PvP: async duels, real time between friends, friends list</t>
  </si>
  <si>
    <t xml:space="preserve">With a friend free, others 2 credits; score free, corrections 1 credit</t>
  </si>
  <si>
    <t xml:space="preserve">Beta this week.</t>
  </si>
  <si>
    <t xml:space="preserve">Decided. Friends found by unique username (only the username shows before a request is accepted, board_hidden included),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</si>
  <si>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</si>
  <si>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</si>
  <si>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</si>
  <si>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</si>
  <si>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</si>
  <si>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</si>
  <si>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</si>
  <si>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</si>
  <si>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</si>
  <si>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</si>
  <si>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</si>
  <si>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</si>
  <si>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</si>
  <si>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</si>
  <si>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</si>
  <si>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</si>
  <si>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</si>
  <si>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</si>
  <si>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</si>
  <si>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Seeded papers, 2 credits an exam</t>
  </si>
  <si>
    <t xml:space="preserve">Pass only; 5 new papers a day.</t>
  </si>
  <si>
    <t xml:space="preserve">Decided. Generating new papers and comprehension texts is removed (owner).</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</si>
  <si>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</si>
  <si>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</si>
  <si>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</si>
  <si>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</si>
  <si>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</si>
  <si>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5 followers or more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</si>
  <si>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</si>
  <si>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</si>
  <si>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</si>
  <si>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</si>
  <si>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</si>
  <si>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</si>
  <si>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</si>
  <si>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</si>
  <si>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</si>
  <si>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</si>
  <si>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</si>
  <si>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</si>
  <si>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</si>
  <si>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(monthly or annual) + 1 month of Max</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</si>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</sst>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230.60125</c:v>
                </c:pt>
                <c:pt idx="1">
                  <c:v>230.60125</c:v>
                </c:pt>
                <c:pt idx="2">
                  <c:v>230.60125</c:v>
                </c:pt>
                <c:pt idx="3">
                  <c:v>350.11845</c:v>
                </c:pt>
                <c:pt idx="4">
                  <c:v>350.11845</c:v>
                </c:pt>
                <c:pt idx="5">
                  <c:v>350.11845</c:v>
                </c:pt>
                <c:pt idx="6">
                  <c:v>726.1707</c:v>
                </c:pt>
                <c:pt idx="7">
                  <c:v>726.1707</c:v>
                </c:pt>
              </c:numCache>
            </c:numRef>
          </c:val>
          <c:smooth val="1"/>
        </c:ser>
        <c:hiLowLines>
          <c:spPr>
            <a:ln w="0">
              <a:noFill/>
            </a:ln>
          </c:spPr>
        </c:hiLowLines>
        <c:marker val="0"/>
        <c:axId val="53878338"/>
        <c:axId val="60884359"/>
      </c:lineChart>
      <c:catAx>
        <c:axId val="5387833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884359"/>
        <c:crosses val="autoZero"/>
        <c:auto val="1"/>
        <c:lblAlgn val="ctr"/>
        <c:lblOffset val="100"/>
        <c:noMultiLvlLbl val="0"/>
      </c:catAx>
      <c:valAx>
        <c:axId val="608843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8783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230.60125</v>
      </c>
    </row>
    <row r="14" customFormat="false" ht="15" hidden="false" customHeight="true" outlineLevel="0" collapsed="false">
      <c r="A14" s="6" t="s">
        <v>10</v>
      </c>
      <c r="B14" s="7" t="n">
        <f aca="false">'Fixed costs'!$J$24</f>
        <v>350.11845</v>
      </c>
    </row>
    <row r="15" customFormat="false" ht="15" hidden="false" customHeight="true" outlineLevel="0" collapsed="false">
      <c r="A15" s="6" t="s">
        <v>11</v>
      </c>
      <c r="B15" s="7" t="n">
        <f aca="false">'Fixed costs'!$K$24</f>
        <v>726.1707</v>
      </c>
    </row>
    <row r="16" customFormat="false" ht="15" hidden="false" customHeight="true" outlineLevel="0" collapsed="false">
      <c r="A16" s="8" t="s">
        <v>12</v>
      </c>
      <c r="B16" s="9" t="n">
        <f aca="false">'Start-up costs'!$I$23+12*'Fixed costs'!$I$24</f>
        <v>3746.542</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2.59429313856742</v>
      </c>
    </row>
    <row r="20" customFormat="false" ht="15" hidden="false" customHeight="true" outlineLevel="0" collapsed="false">
      <c r="A20" s="6" t="s">
        <v>15</v>
      </c>
      <c r="B20" s="7" t="n">
        <f aca="false">'Unit economics'!$O$12</f>
        <v>4.12650227972841</v>
      </c>
    </row>
    <row r="21" customFormat="false" ht="15" hidden="false" customHeight="true" outlineLevel="0" collapsed="false">
      <c r="A21" s="8" t="s">
        <v>16</v>
      </c>
      <c r="B21" s="9" t="n">
        <f aca="false">'Unit economics'!$O$13</f>
        <v>2.87287661877851</v>
      </c>
    </row>
    <row r="22" customFormat="false" ht="15" hidden="false" customHeight="true" outlineLevel="0" collapsed="false">
      <c r="A22" s="6" t="s">
        <v>17</v>
      </c>
      <c r="B22" s="7" t="n">
        <f aca="false">'Unit economics'!$R$13</f>
        <v>0.516528261778512</v>
      </c>
    </row>
    <row r="23" customFormat="false" ht="15" hidden="false" customHeight="true" outlineLevel="0" collapsed="false">
      <c r="A23" s="6" t="s">
        <v>18</v>
      </c>
      <c r="B23" s="7" t="n">
        <f aca="false">'Unit economics'!$C$29</f>
        <v>0.020406</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74</v>
      </c>
    </row>
    <row r="27" customFormat="false" ht="15" hidden="false" customHeight="true" outlineLevel="0" collapsed="false">
      <c r="A27" s="8" t="s">
        <v>21</v>
      </c>
      <c r="B27" s="10" t="n">
        <f aca="false">'Unit economics'!$E$23</f>
        <v>1333</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22.9495933627859</v>
      </c>
      <c r="C31" s="11" t="n">
        <f aca="false">Projection!C18</f>
        <v>111.614901866409</v>
      </c>
      <c r="D31" s="11" t="n">
        <f aca="false">Projection!D18</f>
        <v>220.193387381372</v>
      </c>
      <c r="E31" s="11" t="n">
        <f aca="false">Projection!E18</f>
        <v>549.061908873781</v>
      </c>
      <c r="F31" s="11" t="n">
        <f aca="false">Projection!F18</f>
        <v>1098.02716915149</v>
      </c>
      <c r="G31" s="11" t="n">
        <f aca="false">Projection!G18</f>
        <v>2033.27599145669</v>
      </c>
      <c r="H31" s="11" t="n">
        <f aca="false">Projection!H18</f>
        <v>5084.65986251942</v>
      </c>
      <c r="I31" s="11" t="n">
        <f aca="false">Projection!I18</f>
        <v>10166.3799572835</v>
      </c>
    </row>
    <row r="32" customFormat="false" ht="15" hidden="false" customHeight="true" outlineLevel="0" collapsed="false">
      <c r="A32" s="6" t="s">
        <v>25</v>
      </c>
      <c r="B32" s="11" t="n">
        <f aca="false">Projection!B29</f>
        <v>233.680014</v>
      </c>
      <c r="C32" s="11" t="n">
        <f aca="false">Projection!C29</f>
        <v>245.683702</v>
      </c>
      <c r="D32" s="11" t="n">
        <f aca="false">Projection!D29</f>
        <v>260.61047</v>
      </c>
      <c r="E32" s="11" t="n">
        <f aca="false">Projection!E29</f>
        <v>425.219342</v>
      </c>
      <c r="F32" s="11" t="n">
        <f aca="false">Projection!F29</f>
        <v>500.16455</v>
      </c>
      <c r="G32" s="11" t="n">
        <f aca="false">Projection!G29</f>
        <v>650.21065</v>
      </c>
      <c r="H32" s="11" t="n">
        <f aca="false">Projection!H29</f>
        <v>1476.4012</v>
      </c>
      <c r="I32" s="11" t="n">
        <f aca="false">Projection!I29</f>
        <v>2226.6317</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135.124794998622</v>
      </c>
      <c r="H33" s="11" t="n">
        <f aca="false">Projection!H34</f>
        <v>739.693025816482</v>
      </c>
      <c r="I33" s="11" t="n">
        <f aca="false">Projection!I34</f>
        <v>1627.64839274311</v>
      </c>
    </row>
    <row r="34" customFormat="false" ht="15" hidden="false" customHeight="true" outlineLevel="0" collapsed="false">
      <c r="A34" s="6" t="s">
        <v>27</v>
      </c>
      <c r="B34" s="11" t="n">
        <f aca="false">Projection!B35</f>
        <v>-210.730420637214</v>
      </c>
      <c r="C34" s="11" t="n">
        <f aca="false">Projection!C35</f>
        <v>-134.068800133591</v>
      </c>
      <c r="D34" s="11" t="n">
        <f aca="false">Projection!D35</f>
        <v>-40.4170826186281</v>
      </c>
      <c r="E34" s="11" t="n">
        <f aca="false">Projection!E35</f>
        <v>123.842566873781</v>
      </c>
      <c r="F34" s="11" t="n">
        <f aca="false">Projection!F35</f>
        <v>597.862619151488</v>
      </c>
      <c r="G34" s="11" t="n">
        <f aca="false">Projection!G35</f>
        <v>1247.94054645807</v>
      </c>
      <c r="H34" s="11" t="n">
        <f aca="false">Projection!H35</f>
        <v>2868.56563670294</v>
      </c>
      <c r="I34" s="11" t="n">
        <f aca="false">Projection!I35</f>
        <v>6312.09986454036</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2.33680014</v>
      </c>
      <c r="C37" s="7" t="n">
        <f aca="false">Projection!C40</f>
        <v>0.491367404</v>
      </c>
      <c r="D37" s="7" t="n">
        <f aca="false">Projection!D40</f>
        <v>0.26061047</v>
      </c>
      <c r="E37" s="7" t="n">
        <f aca="false">Projection!E40</f>
        <v>0.1700877368</v>
      </c>
      <c r="F37" s="7" t="n">
        <f aca="false">Projection!F40</f>
        <v>0.10003291</v>
      </c>
      <c r="G37" s="7" t="n">
        <f aca="false">Projection!G40</f>
        <v>0.065021065</v>
      </c>
      <c r="H37" s="7" t="n">
        <f aca="false">Projection!H40</f>
        <v>0.059056048</v>
      </c>
      <c r="I37" s="7" t="n">
        <f aca="false">Projection!I40</f>
        <v>0.044532634</v>
      </c>
    </row>
    <row r="38" customFormat="false" ht="15" hidden="false" customHeight="true" outlineLevel="0" collapsed="false">
      <c r="A38" s="6" t="s">
        <v>31</v>
      </c>
      <c r="B38" s="7" t="n">
        <f aca="false">Projection!B41</f>
        <v>38.946669</v>
      </c>
      <c r="C38" s="7" t="n">
        <f aca="false">Projection!C41</f>
        <v>8.77441792857143</v>
      </c>
      <c r="D38" s="7" t="n">
        <f aca="false">Projection!D41</f>
        <v>4.73837218181818</v>
      </c>
      <c r="E38" s="7" t="n">
        <f aca="false">Projection!E41</f>
        <v>3.08129957971015</v>
      </c>
      <c r="F38" s="7" t="n">
        <f aca="false">Projection!F41</f>
        <v>1.81878018181818</v>
      </c>
      <c r="G38" s="7" t="n">
        <f aca="false">Projection!G41</f>
        <v>1.18220118181818</v>
      </c>
      <c r="H38" s="7" t="n">
        <f aca="false">Projection!H41</f>
        <v>1.07374632727273</v>
      </c>
      <c r="I38" s="7" t="n">
        <f aca="false">Projection!I41</f>
        <v>0.809684254545455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35</v>
      </c>
    </row>
    <row r="42" customFormat="false" ht="15" hidden="false" customHeight="false" outlineLevel="0" collapsed="false">
      <c r="A42" s="6" t="s">
        <v>34</v>
      </c>
      <c r="B42" s="15" t="n">
        <f aca="false">'Unit economics'!$E$23</f>
        <v>1333</v>
      </c>
    </row>
    <row r="43" customFormat="false" ht="15" hidden="false" customHeight="false" outlineLevel="0" collapsed="false">
      <c r="A43" s="6" t="s">
        <v>35</v>
      </c>
      <c r="B43" s="16" t="n">
        <f aca="false">IF(OR(B41=0,NOT(ISNUMBER(B42))),0,B42/B41)</f>
        <v>38.0857142857143</v>
      </c>
    </row>
    <row r="44" customFormat="false" ht="15" hidden="false" customHeight="false" outlineLevel="0" collapsed="false">
      <c r="A44" s="6" t="s">
        <v>36</v>
      </c>
      <c r="B44" s="17" t="n">
        <f aca="true">MAX(0,(Assumptions!$B$61-TODAY())/30.44)</f>
        <v>5.09198423127464</v>
      </c>
    </row>
    <row r="45" customFormat="false" ht="15" hidden="false" customHeight="false" outlineLevel="0" collapsed="false">
      <c r="A45" s="6" t="s">
        <v>37</v>
      </c>
      <c r="B45" s="18" t="n">
        <f aca="false">IF(OR(B41=0,B44=0,NOT(ISNUMBER(B42))),0,(B42/B41)^(1/B44)-1)</f>
        <v>1.04381358016159</v>
      </c>
    </row>
    <row r="46" customFormat="false" ht="15" hidden="false" customHeight="false" outlineLevel="0" collapsed="false">
      <c r="A46" s="6" t="s">
        <v>38</v>
      </c>
      <c r="B46" s="19" t="n">
        <f aca="true">IF(B45=0,0,B41*(1+B45)^(MAX(0,DATE(2026,12,31)-TODAY())/30.44))</f>
        <v>161.052800839913</v>
      </c>
    </row>
    <row r="47" customFormat="false" ht="15" hidden="false" customHeight="false" outlineLevel="0" collapsed="false">
      <c r="A47" s="6" t="s">
        <v>39</v>
      </c>
      <c r="B47" s="19" t="n">
        <f aca="true">IF(B45=0,0,B41*(1+B45)^(MAX(0,Assumptions!$B$60-TODAY())/30.44))</f>
        <v>47.4950218571389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0.15</v>
      </c>
      <c r="C31" s="6" t="s">
        <v>107</v>
      </c>
      <c r="D31" s="22" t="s">
        <v>108</v>
      </c>
    </row>
    <row r="32" customFormat="false" ht="15" hidden="false" customHeight="true" outlineLevel="0" collapsed="false">
      <c r="A32" s="6" t="s">
        <v>109</v>
      </c>
      <c r="B32" s="30" t="n">
        <f aca="false">'AI worst case'!$L$26</f>
        <v>2.306505</v>
      </c>
      <c r="C32" s="6" t="s">
        <v>107</v>
      </c>
      <c r="D32" s="22" t="s">
        <v>110</v>
      </c>
    </row>
    <row r="33" customFormat="false" ht="15" hidden="false" customHeight="true" outlineLevel="0" collapsed="false">
      <c r="A33" s="6" t="s">
        <v>111</v>
      </c>
      <c r="B33" s="29" t="n">
        <v>0.25</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0.01</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79</v>
      </c>
      <c r="D53" s="6" t="s">
        <v>146</v>
      </c>
    </row>
    <row r="54" customFormat="false" ht="15" hidden="false" customHeight="true" outlineLevel="0" collapsed="false">
      <c r="A54" s="6" t="s">
        <v>147</v>
      </c>
      <c r="B54" s="23" t="n">
        <v>0.01</v>
      </c>
      <c r="C54" s="6" t="s">
        <v>148</v>
      </c>
      <c r="D54" s="6" t="s">
        <v>149</v>
      </c>
    </row>
    <row r="55" customFormat="false" ht="15" hidden="false" customHeight="true" outlineLevel="0" collapsed="false">
      <c r="A55" s="6" t="s">
        <v>150</v>
      </c>
      <c r="B55" s="23" t="n">
        <v>0.05</v>
      </c>
      <c r="C55" s="6" t="s">
        <v>151</v>
      </c>
      <c r="D55" s="6" t="s">
        <v>152</v>
      </c>
    </row>
    <row r="56" customFormat="false" ht="15" hidden="false" customHeight="true" outlineLevel="0" collapsed="false">
      <c r="A56" s="6" t="s">
        <v>153</v>
      </c>
      <c r="B56" s="33" t="n">
        <v>1.2</v>
      </c>
      <c r="C56" s="6" t="s">
        <v>154</v>
      </c>
      <c r="D56" s="6" t="s">
        <v>155</v>
      </c>
    </row>
    <row r="57" customFormat="false" ht="15" hidden="false" customHeight="true" outlineLevel="0" collapsed="false">
      <c r="A57" s="6" t="s">
        <v>156</v>
      </c>
      <c r="B57" s="7" t="n">
        <f aca="false">'Credit shop'!$C$21</f>
        <v>3.39</v>
      </c>
      <c r="C57" s="6" t="s">
        <v>157</v>
      </c>
      <c r="D57" s="6" t="s">
        <v>158</v>
      </c>
    </row>
    <row r="58" customFormat="false" ht="15" hidden="false" customHeight="true" outlineLevel="0" collapsed="false">
      <c r="A58" s="6" t="s">
        <v>159</v>
      </c>
      <c r="B58" s="25" t="n">
        <v>0.9</v>
      </c>
      <c r="C58" s="6" t="s">
        <v>160</v>
      </c>
      <c r="D58" s="6" t="s">
        <v>161</v>
      </c>
    </row>
    <row r="59" customFormat="false" ht="15" hidden="false" customHeight="true" outlineLevel="0" collapsed="false">
      <c r="A59" s="6" t="s">
        <v>162</v>
      </c>
      <c r="B59" s="31" t="n">
        <v>35</v>
      </c>
      <c r="C59" s="6" t="s">
        <v>163</v>
      </c>
      <c r="D59" s="6" t="s">
        <v>164</v>
      </c>
    </row>
    <row r="60" customFormat="false" ht="15" hidden="false" customHeight="true" outlineLevel="0" collapsed="false">
      <c r="A60" s="6" t="s">
        <v>165</v>
      </c>
      <c r="B60" s="34" t="n">
        <v>46335</v>
      </c>
      <c r="C60" s="6" t="s">
        <v>166</v>
      </c>
      <c r="D60" s="6" t="s">
        <v>167</v>
      </c>
    </row>
    <row r="61" customFormat="false" ht="15" hidden="false" customHeight="true" outlineLevel="0" collapsed="false">
      <c r="A61" s="6" t="s">
        <v>168</v>
      </c>
      <c r="B61" s="35" t="n">
        <v>46477</v>
      </c>
      <c r="C61" s="6" t="s">
        <v>166</v>
      </c>
      <c r="D61" s="6" t="s">
        <v>169</v>
      </c>
    </row>
    <row r="62" customFormat="false" ht="15" hidden="false" customHeight="true" outlineLevel="0" collapsed="false">
      <c r="A62" s="6" t="s">
        <v>170</v>
      </c>
      <c r="B62" s="36" t="n">
        <v>100</v>
      </c>
      <c r="C62" s="6" t="s">
        <v>171</v>
      </c>
      <c r="D62" s="6" t="s">
        <v>172</v>
      </c>
    </row>
    <row r="63" customFormat="false" ht="15" hidden="false" customHeight="true" outlineLevel="0" collapsed="false">
      <c r="A63" s="6" t="s">
        <v>173</v>
      </c>
      <c r="B63" s="23" t="n">
        <v>0.1</v>
      </c>
      <c r="C63" s="6" t="s">
        <v>174</v>
      </c>
      <c r="D63" s="6" t="s">
        <v>175</v>
      </c>
    </row>
    <row r="64" customFormat="false" ht="15" hidden="false" customHeight="true" outlineLevel="0" collapsed="false">
      <c r="A64" s="6" t="s">
        <v>176</v>
      </c>
      <c r="B64" s="23" t="n">
        <v>0.5</v>
      </c>
      <c r="C64" s="6" t="s">
        <v>174</v>
      </c>
      <c r="D64"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178</v>
      </c>
    </row>
    <row r="2" customFormat="false" ht="15" hidden="false" customHeight="true" outlineLevel="0" collapsed="false">
      <c r="A2" s="3" t="s">
        <v>179</v>
      </c>
    </row>
    <row r="4" customFormat="false" ht="26.25" hidden="false" customHeight="true" outlineLevel="0" collapsed="false">
      <c r="A4" s="20" t="s">
        <v>180</v>
      </c>
      <c r="B4" s="20" t="s">
        <v>181</v>
      </c>
      <c r="C4" s="20" t="s">
        <v>182</v>
      </c>
      <c r="D4" s="20" t="s">
        <v>183</v>
      </c>
      <c r="E4" s="20" t="s">
        <v>184</v>
      </c>
      <c r="F4" s="20" t="s">
        <v>185</v>
      </c>
      <c r="G4" s="20" t="s">
        <v>186</v>
      </c>
      <c r="H4" s="20" t="s">
        <v>187</v>
      </c>
    </row>
    <row r="5" customFormat="false" ht="15" hidden="false" customHeight="true" outlineLevel="0" collapsed="false">
      <c r="A5" s="6" t="s">
        <v>188</v>
      </c>
      <c r="B5" s="6" t="s">
        <v>189</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188</v>
      </c>
      <c r="B6" s="6" t="s">
        <v>190</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191</v>
      </c>
      <c r="B7" s="6" t="s">
        <v>189</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191</v>
      </c>
      <c r="B8" s="6" t="s">
        <v>190</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192</v>
      </c>
      <c r="B10" s="5"/>
      <c r="C10" s="5"/>
      <c r="D10" s="5"/>
      <c r="E10" s="5"/>
      <c r="F10" s="5"/>
      <c r="G10" s="5"/>
      <c r="H10" s="5"/>
    </row>
    <row r="11" customFormat="false" ht="15" hidden="false" customHeight="true" outlineLevel="0" collapsed="false">
      <c r="A11" s="6" t="s">
        <v>193</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194</v>
      </c>
      <c r="D12" s="37" t="n">
        <f aca="false">(D8-D6)/12</f>
        <v>1.66666666666667</v>
      </c>
    </row>
    <row r="13" customFormat="false" ht="15" hidden="false" customHeight="true" outlineLevel="0" collapsed="false">
      <c r="A13" s="6" t="s">
        <v>195</v>
      </c>
      <c r="D13" s="37" t="n">
        <f aca="false">D7-D5</f>
        <v>3</v>
      </c>
    </row>
    <row r="14" customFormat="false" ht="15" hidden="false" customHeight="true" outlineLevel="0" collapsed="false">
      <c r="A14" s="32" t="s">
        <v>196</v>
      </c>
    </row>
    <row r="16" customFormat="false" ht="15" hidden="false" customHeight="true" outlineLevel="0" collapsed="false">
      <c r="A16" s="4" t="s">
        <v>197</v>
      </c>
      <c r="B16" s="5"/>
      <c r="C16" s="5"/>
      <c r="D16" s="5"/>
      <c r="E16" s="5"/>
      <c r="F16" s="5"/>
      <c r="G16" s="5"/>
      <c r="H16" s="5"/>
    </row>
    <row r="17" customFormat="false" ht="15" hidden="false" customHeight="true" outlineLevel="0" collapsed="false">
      <c r="A17" s="20" t="s">
        <v>198</v>
      </c>
      <c r="B17" s="20" t="s">
        <v>199</v>
      </c>
      <c r="C17" s="20" t="s">
        <v>200</v>
      </c>
      <c r="D17" s="20" t="s">
        <v>201</v>
      </c>
      <c r="E17" s="20" t="s">
        <v>202</v>
      </c>
      <c r="F17" s="20"/>
      <c r="G17" s="20"/>
      <c r="H17" s="20" t="s">
        <v>203</v>
      </c>
    </row>
    <row r="18" customFormat="false" ht="15" hidden="false" customHeight="true" outlineLevel="0" collapsed="false">
      <c r="A18" s="6" t="s">
        <v>204</v>
      </c>
      <c r="B18" s="6" t="s">
        <v>205</v>
      </c>
      <c r="C18" s="39" t="n">
        <v>9</v>
      </c>
      <c r="D18" s="39" t="n">
        <v>89</v>
      </c>
      <c r="E18" s="39" t="n">
        <v>299</v>
      </c>
      <c r="H18" s="6" t="s">
        <v>206</v>
      </c>
    </row>
    <row r="19" customFormat="false" ht="15" hidden="false" customHeight="true" outlineLevel="0" collapsed="false">
      <c r="A19" s="6" t="s">
        <v>207</v>
      </c>
      <c r="B19" s="6" t="s">
        <v>208</v>
      </c>
      <c r="C19" s="39" t="n">
        <v>5</v>
      </c>
      <c r="D19" s="39" t="s">
        <v>209</v>
      </c>
      <c r="E19" s="39" t="n">
        <v>150</v>
      </c>
      <c r="H19" s="6" t="s">
        <v>210</v>
      </c>
    </row>
    <row r="20" customFormat="false" ht="15" hidden="false" customHeight="true" outlineLevel="0" collapsed="false">
      <c r="A20" s="6" t="s">
        <v>211</v>
      </c>
      <c r="B20" s="6" t="s">
        <v>212</v>
      </c>
      <c r="C20" s="39" t="n">
        <v>6.99</v>
      </c>
      <c r="D20" s="39" t="n">
        <v>49.99</v>
      </c>
      <c r="E20" s="39" t="n">
        <v>109.99</v>
      </c>
      <c r="H20" s="6" t="s">
        <v>213</v>
      </c>
    </row>
    <row r="21" customFormat="false" ht="15" hidden="false" customHeight="true" outlineLevel="0" collapsed="false">
      <c r="A21" s="6" t="s">
        <v>214</v>
      </c>
      <c r="B21" s="6" t="s">
        <v>215</v>
      </c>
      <c r="C21" s="39" t="n">
        <v>14</v>
      </c>
      <c r="D21" s="39" t="s">
        <v>209</v>
      </c>
      <c r="E21" s="39" t="s">
        <v>209</v>
      </c>
      <c r="H21" s="6" t="s">
        <v>216</v>
      </c>
    </row>
    <row r="23" customFormat="false" ht="15" hidden="false" customHeight="true" outlineLevel="0" collapsed="false">
      <c r="A23" s="4" t="s">
        <v>217</v>
      </c>
      <c r="B23" s="5"/>
      <c r="C23" s="5"/>
      <c r="D23" s="5"/>
      <c r="E23" s="5"/>
      <c r="F23" s="5"/>
      <c r="G23" s="5"/>
      <c r="H23" s="5"/>
    </row>
    <row r="24" customFormat="false" ht="31.5" hidden="false" customHeight="true" outlineLevel="0" collapsed="false">
      <c r="A24" s="6" t="n">
        <v>1</v>
      </c>
      <c r="B24" s="40" t="s">
        <v>218</v>
      </c>
      <c r="C24" s="40"/>
      <c r="D24" s="40"/>
      <c r="E24" s="40"/>
      <c r="F24" s="40"/>
      <c r="G24" s="40"/>
      <c r="H24" s="40"/>
    </row>
    <row r="25" customFormat="false" ht="31.5" hidden="false" customHeight="true" outlineLevel="0" collapsed="false">
      <c r="A25" s="6" t="n">
        <v>2</v>
      </c>
      <c r="B25" s="40" t="s">
        <v>219</v>
      </c>
      <c r="C25" s="40"/>
      <c r="D25" s="40"/>
      <c r="E25" s="40"/>
      <c r="F25" s="40"/>
      <c r="G25" s="40"/>
      <c r="H25" s="40"/>
    </row>
    <row r="26" customFormat="false" ht="31.5" hidden="false" customHeight="true" outlineLevel="0" collapsed="false">
      <c r="A26" s="6" t="n">
        <v>3</v>
      </c>
      <c r="B26" s="40" t="s">
        <v>220</v>
      </c>
      <c r="C26" s="40"/>
      <c r="D26" s="40"/>
      <c r="E26" s="40"/>
      <c r="F26" s="40"/>
      <c r="G26" s="40"/>
      <c r="H26" s="40"/>
    </row>
    <row r="27" customFormat="false" ht="31.5" hidden="false" customHeight="true" outlineLevel="0" collapsed="false">
      <c r="A27" s="6" t="n">
        <v>4</v>
      </c>
      <c r="B27" s="40" t="s">
        <v>221</v>
      </c>
      <c r="C27" s="40"/>
      <c r="D27" s="40"/>
      <c r="E27" s="40"/>
      <c r="F27" s="40"/>
      <c r="G27" s="40"/>
      <c r="H27" s="40"/>
    </row>
    <row r="28" customFormat="false" ht="31.5" hidden="false" customHeight="true" outlineLevel="0" collapsed="false">
      <c r="A28" s="6" t="n">
        <v>5</v>
      </c>
      <c r="B28" s="40" t="s">
        <v>222</v>
      </c>
      <c r="C28" s="40"/>
      <c r="D28" s="40"/>
      <c r="E28" s="40"/>
      <c r="F28" s="40"/>
      <c r="G28" s="40"/>
      <c r="H28" s="40"/>
    </row>
    <row r="29" customFormat="false" ht="31.5" hidden="false" customHeight="true" outlineLevel="0" collapsed="false">
      <c r="A29" s="6" t="n">
        <v>6</v>
      </c>
      <c r="B29" s="40" t="s">
        <v>223</v>
      </c>
      <c r="C29" s="40"/>
      <c r="D29" s="40"/>
      <c r="E29" s="40"/>
      <c r="F29" s="40"/>
      <c r="G29" s="40"/>
      <c r="H29" s="40"/>
    </row>
    <row r="30" customFormat="false" ht="31.5" hidden="false" customHeight="true" outlineLevel="0" collapsed="false">
      <c r="A30" s="6" t="n">
        <v>7</v>
      </c>
      <c r="B30" s="40" t="s">
        <v>224</v>
      </c>
      <c r="C30" s="40"/>
      <c r="D30" s="40"/>
      <c r="E30" s="40"/>
      <c r="F30" s="40"/>
      <c r="G30" s="40"/>
      <c r="H30" s="40"/>
    </row>
    <row r="31" customFormat="false" ht="31.5" hidden="false" customHeight="true" outlineLevel="0" collapsed="false">
      <c r="A31" s="6" t="n">
        <v>8</v>
      </c>
      <c r="B31" s="40" t="s">
        <v>225</v>
      </c>
      <c r="C31" s="40"/>
      <c r="D31" s="40"/>
      <c r="E31" s="40"/>
      <c r="F31" s="40"/>
      <c r="G31" s="40"/>
      <c r="H31" s="40"/>
    </row>
    <row r="33" customFormat="false" ht="15" hidden="false" customHeight="true" outlineLevel="0" collapsed="false">
      <c r="A33" s="4" t="s">
        <v>226</v>
      </c>
      <c r="B33" s="5"/>
      <c r="C33" s="5"/>
      <c r="D33" s="5"/>
      <c r="E33" s="5"/>
      <c r="F33" s="5"/>
      <c r="G33" s="5"/>
      <c r="H33" s="5"/>
      <c r="I33" s="5"/>
      <c r="J33" s="5"/>
      <c r="K33" s="5"/>
      <c r="L33" s="5"/>
      <c r="M33" s="5"/>
      <c r="N33" s="5"/>
    </row>
    <row r="34" customFormat="false" ht="57.75" hidden="false" customHeight="true" outlineLevel="0" collapsed="false">
      <c r="A34" s="20" t="s">
        <v>227</v>
      </c>
      <c r="B34" s="20" t="s">
        <v>228</v>
      </c>
      <c r="C34" s="20" t="s">
        <v>229</v>
      </c>
      <c r="D34" s="20" t="s">
        <v>230</v>
      </c>
      <c r="E34" s="20" t="s">
        <v>231</v>
      </c>
      <c r="F34" s="20" t="s">
        <v>232</v>
      </c>
      <c r="G34" s="20" t="s">
        <v>233</v>
      </c>
      <c r="H34" s="20" t="s">
        <v>234</v>
      </c>
      <c r="I34" s="20" t="s">
        <v>235</v>
      </c>
      <c r="J34" s="20" t="s">
        <v>236</v>
      </c>
      <c r="K34" s="20" t="s">
        <v>237</v>
      </c>
      <c r="L34" s="20" t="s">
        <v>238</v>
      </c>
      <c r="M34" s="20" t="s">
        <v>239</v>
      </c>
      <c r="N34" s="20" t="s">
        <v>240</v>
      </c>
    </row>
    <row r="35" customFormat="false" ht="30" hidden="false" customHeight="true" outlineLevel="0" collapsed="false">
      <c r="A35" s="6" t="s">
        <v>241</v>
      </c>
      <c r="B35" s="22" t="s">
        <v>242</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1.08522279782645</v>
      </c>
      <c r="K35" s="37" t="n">
        <f aca="false">MIN(G35/12/(1+Assumptions!$B$7)*(1-Assumptions!$B$21),(G35/(1+Assumptions!$B$7)-(G35*(Assumptions!$B$22+Assumptions!$B$24)+Assumptions!$B$23))/12)-'AI worst case'!$F$33-Assumptions!$B$36</f>
        <v>0.506262742730028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243</v>
      </c>
      <c r="B36" s="22" t="s">
        <v>244</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1.05469529998347</v>
      </c>
      <c r="K36" s="37" t="n">
        <f aca="false">MIN(G36/12/(1+Assumptions!$B$7)*(1-Assumptions!$B$21),(G36/(1+Assumptions!$B$7)-(G36*(Assumptions!$B$22+Assumptions!$B$24)+Assumptions!$B$23))/12)-'AI worst case'!$F$34-Assumptions!$B$36</f>
        <v>0.475735244887052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245</v>
      </c>
      <c r="B37" s="22" t="s">
        <v>246</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0.847723666140496</v>
      </c>
      <c r="K37" s="37" t="n">
        <f aca="false">MIN(G37/12/(1+Assumptions!$B$7)*(1-Assumptions!$B$21),(G37/(1+Assumptions!$B$7)-(G37*(Assumptions!$B$22+Assumptions!$B$24)+Assumptions!$B$23))/12)-'AI worst case'!$F$35-Assumptions!$B$36</f>
        <v>0.38584350085124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247</v>
      </c>
      <c r="B38" s="22" t="s">
        <v>248</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249</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250</v>
      </c>
    </row>
    <row r="42" customFormat="false" ht="15" hidden="false" customHeight="true" outlineLevel="0" collapsed="false">
      <c r="A42" s="32" t="s">
        <v>251</v>
      </c>
    </row>
    <row r="43" customFormat="false" ht="15" hidden="false" customHeight="true" outlineLevel="0" collapsed="false">
      <c r="A43" s="32" t="s">
        <v>252</v>
      </c>
    </row>
    <row r="44" customFormat="false" ht="15" hidden="false" customHeight="true" outlineLevel="0" collapsed="false">
      <c r="A44" s="32" t="s">
        <v>253</v>
      </c>
    </row>
    <row r="45" customFormat="false" ht="15" hidden="false" customHeight="true" outlineLevel="0" collapsed="false">
      <c r="A45" s="32" t="s">
        <v>254</v>
      </c>
    </row>
    <row r="46" customFormat="false" ht="15" hidden="false" customHeight="true" outlineLevel="0" collapsed="false">
      <c r="A46" s="32" t="s">
        <v>255</v>
      </c>
    </row>
    <row r="48" customFormat="false" ht="15" hidden="false" customHeight="false" outlineLevel="0" collapsed="false">
      <c r="A48" s="14" t="s">
        <v>256</v>
      </c>
      <c r="B48" s="14"/>
      <c r="C48" s="14"/>
      <c r="D48" s="14"/>
      <c r="E48" s="14"/>
      <c r="F48" s="14"/>
      <c r="G48" s="14"/>
      <c r="H48" s="14"/>
    </row>
    <row r="49" customFormat="false" ht="45" hidden="false" customHeight="true" outlineLevel="0" collapsed="false">
      <c r="A49" s="20" t="s">
        <v>180</v>
      </c>
      <c r="B49" s="20" t="s">
        <v>257</v>
      </c>
      <c r="C49" s="20" t="s">
        <v>258</v>
      </c>
      <c r="D49" s="20" t="s">
        <v>259</v>
      </c>
      <c r="E49" s="20" t="s">
        <v>260</v>
      </c>
      <c r="F49" s="20" t="s">
        <v>261</v>
      </c>
      <c r="G49" s="20" t="s">
        <v>262</v>
      </c>
    </row>
    <row r="50" customFormat="false" ht="15" hidden="false" customHeight="false" outlineLevel="0" collapsed="false">
      <c r="A50" s="6" t="s">
        <v>263</v>
      </c>
      <c r="B50" s="37" t="n">
        <f aca="false">$D$6</f>
        <v>49.99</v>
      </c>
      <c r="C50" s="37" t="n">
        <f aca="false">MAX(0.99,CEILING($D$6*(1-Assumptions!$B$52),1)-0.01)</f>
        <v>37.99</v>
      </c>
      <c r="D50" s="37" t="n">
        <f aca="false">C50/12/(1+Assumptions!$B$7)*(1-Assumptions!$B$21)-'AI worst case'!$F$33-Assumptions!$B$36</f>
        <v>-0.196216596112948</v>
      </c>
      <c r="E50" s="37" t="n">
        <f aca="false">(C50-(C50*(Assumptions!$B$22+Assumptions!$B$24)+Assumptions!$B$23))/12-'AI worst case'!$F$33-Assumptions!$B$36</f>
        <v>0.655202563666667</v>
      </c>
      <c r="F50" s="6" t="str">
        <f aca="false">IF(D50&gt;='AI worst case'!$B$10,"yes","NO")</f>
        <v>NO</v>
      </c>
      <c r="G50" s="6" t="str">
        <f aca="false">IF(E50&gt;='AI worst case'!$B$10,"yes","NO")</f>
        <v>yes</v>
      </c>
    </row>
    <row r="51" customFormat="false" ht="15" hidden="false" customHeight="false" outlineLevel="0" collapsed="false">
      <c r="A51" s="6" t="s">
        <v>264</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15" hidden="false" customHeight="false" outlineLevel="0" collapsed="false">
      <c r="A52" s="6" t="s">
        <v>265</v>
      </c>
      <c r="B52" s="37" t="n">
        <f aca="false">$D$5</f>
        <v>4.99</v>
      </c>
      <c r="C52" s="37" t="n">
        <f aca="false">MAX(0.99,CEILING($D$5*(1-Assumptions!$B$52),1)-0.01)</f>
        <v>3.99</v>
      </c>
      <c r="D52" s="37" t="n">
        <f aca="false">C52/1/(1+Assumptions!$B$7)*(1-Assumptions!$B$21)-'AI worst case'!$F$33-Assumptions!$B$36</f>
        <v>0.382743458983471</v>
      </c>
      <c r="E52" s="37" t="n">
        <f aca="false">(C52-(C52*(Assumptions!$B$22+Assumptions!$B$24)+Assumptions!$B$23))/1-'AI worst case'!$F$33-Assumptions!$B$36</f>
        <v>1.232070897</v>
      </c>
      <c r="F52" s="6" t="str">
        <f aca="false">IF(D52&gt;='AI worst case'!$B$10,"yes","NO")</f>
        <v>yes</v>
      </c>
      <c r="G52" s="6" t="str">
        <f aca="false">IF(E52&gt;='AI worst case'!$B$10,"yes","NO")</f>
        <v>yes</v>
      </c>
    </row>
    <row r="53" customFormat="false" ht="15" hidden="false" customHeight="false" outlineLevel="0" collapsed="false">
      <c r="A53" s="6" t="s">
        <v>266</v>
      </c>
      <c r="B53" s="37" t="n">
        <f aca="false">$D$7</f>
        <v>7.99</v>
      </c>
      <c r="C53" s="37" t="n">
        <f aca="false">MAX(0.99,CEILING($D$7*(1-Assumptions!$B$52),1)-0.01)</f>
        <v>5.99</v>
      </c>
      <c r="D53" s="37" t="n">
        <f aca="false">C53/1/(1+Assumptions!$B$7)*(1-Assumptions!$B$21)-'AI worst case'!$G$33-Assumptions!$B$36</f>
        <v>1.06605123966942</v>
      </c>
      <c r="E53" s="37" t="n">
        <f aca="false">(C53-(C53*(Assumptions!$B$22+Assumptions!$B$24)+Assumptions!$B$23))/1-'AI worst case'!$G$33-Assumptions!$B$36</f>
        <v>2.46642</v>
      </c>
      <c r="F53" s="6" t="str">
        <f aca="false">IF(D53&gt;='AI worst case'!$B$10,"yes","NO")</f>
        <v>yes</v>
      </c>
      <c r="G53" s="6" t="str">
        <f aca="false">IF(E53&gt;='AI worst case'!$B$10,"yes","NO")</f>
        <v>yes</v>
      </c>
    </row>
    <row r="54" customFormat="false" ht="45" hidden="false" customHeight="true" outlineLevel="0" collapsed="false">
      <c r="A54" s="40" t="s">
        <v>267</v>
      </c>
      <c r="B54" s="40"/>
      <c r="C54" s="40"/>
      <c r="D54" s="40"/>
      <c r="E54" s="40"/>
      <c r="F54" s="40"/>
      <c r="G54" s="40"/>
      <c r="H54" s="40"/>
    </row>
    <row r="55" customFormat="false" ht="31.5" hidden="false" customHeight="true" outlineLevel="0" collapsed="false">
      <c r="A55" s="40" t="s">
        <v>268</v>
      </c>
      <c r="B55" s="40"/>
      <c r="C55" s="40"/>
      <c r="D55" s="40"/>
      <c r="E55" s="40"/>
      <c r="F55" s="40"/>
      <c r="G55" s="40"/>
      <c r="H55" s="40"/>
    </row>
    <row r="56" customFormat="false" ht="15" hidden="false" customHeight="false" outlineLevel="0" collapsed="false">
      <c r="A56" s="6" t="s">
        <v>269</v>
      </c>
      <c r="D56" s="43" t="n">
        <f aca="false">Assumptions!$B$62*Assumptions!$B$63*MAX(0,-MIN(D50:D53))</f>
        <v>1.96216596112948</v>
      </c>
    </row>
    <row r="57" customFormat="false" ht="15" hidden="false" customHeight="false" outlineLevel="0" collapsed="false">
      <c r="A57" s="6" t="s">
        <v>270</v>
      </c>
      <c r="D57" s="43" t="n">
        <f aca="false">Assumptions!$B$62*Assumptions!$B$64*('Unit economics'!$M$8+'Unit economics'!$N$8)</f>
        <v>14.0075</v>
      </c>
    </row>
    <row r="58" customFormat="false" ht="15" hidden="false" customHeight="false" outlineLevel="0" collapsed="false">
      <c r="A58" s="6" t="s">
        <v>271</v>
      </c>
      <c r="D58"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4:H54"/>
    <mergeCell ref="A55:H55"/>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272</v>
      </c>
    </row>
    <row r="2" customFormat="false" ht="15" hidden="false" customHeight="false" outlineLevel="0" collapsed="false">
      <c r="A2" s="44" t="s">
        <v>273</v>
      </c>
    </row>
    <row r="4" customFormat="false" ht="15" hidden="false" customHeight="false" outlineLevel="0" collapsed="false">
      <c r="A4" s="14" t="s">
        <v>274</v>
      </c>
      <c r="B4" s="14"/>
      <c r="C4" s="14"/>
      <c r="D4" s="14"/>
      <c r="E4" s="14"/>
      <c r="F4" s="14"/>
      <c r="G4" s="14"/>
      <c r="H4" s="14"/>
    </row>
    <row r="5" customFormat="false" ht="15" hidden="false" customHeight="false" outlineLevel="0" collapsed="false">
      <c r="A5" s="6" t="s">
        <v>275</v>
      </c>
      <c r="B5" s="31" t="n">
        <v>60</v>
      </c>
    </row>
    <row r="6" customFormat="false" ht="15" hidden="false" customHeight="false" outlineLevel="0" collapsed="false">
      <c r="A6" s="6" t="s">
        <v>276</v>
      </c>
      <c r="B6" s="31" t="n">
        <v>90</v>
      </c>
    </row>
    <row r="7" customFormat="false" ht="15" hidden="false" customHeight="false" outlineLevel="0" collapsed="false">
      <c r="A7" s="6" t="s">
        <v>277</v>
      </c>
      <c r="B7" s="31" t="n">
        <v>120</v>
      </c>
    </row>
    <row r="8" customFormat="false" ht="15" hidden="false" customHeight="false" outlineLevel="0" collapsed="false">
      <c r="A8" s="6" t="s">
        <v>278</v>
      </c>
      <c r="B8" s="31" t="n">
        <v>200</v>
      </c>
    </row>
    <row r="9" customFormat="false" ht="15" hidden="false" customHeight="false" outlineLevel="0" collapsed="false">
      <c r="A9" s="6" t="s">
        <v>279</v>
      </c>
      <c r="B9" s="31" t="n">
        <v>1</v>
      </c>
    </row>
    <row r="10" customFormat="false" ht="15" hidden="false" customHeight="false" outlineLevel="0" collapsed="false">
      <c r="A10" s="6" t="s">
        <v>280</v>
      </c>
      <c r="B10" s="31" t="n">
        <v>0</v>
      </c>
    </row>
    <row r="11" customFormat="false" ht="15" hidden="false" customHeight="false" outlineLevel="0" collapsed="false">
      <c r="A11" s="6" t="s">
        <v>281</v>
      </c>
      <c r="B11" s="17" t="n">
        <f aca="false">AVERAGE(B44:B49)</f>
        <v>1.33333333333333</v>
      </c>
    </row>
    <row r="12" customFormat="false" ht="15" hidden="false" customHeight="false" outlineLevel="0" collapsed="false">
      <c r="A12" s="6" t="s">
        <v>282</v>
      </c>
      <c r="B12" s="31" t="n">
        <v>60</v>
      </c>
    </row>
    <row r="13" customFormat="false" ht="15" hidden="false" customHeight="false" outlineLevel="0" collapsed="false">
      <c r="A13" s="6" t="s">
        <v>283</v>
      </c>
      <c r="B13" s="31" t="n">
        <v>125</v>
      </c>
    </row>
    <row r="14" customFormat="false" ht="15" hidden="false" customHeight="false" outlineLevel="0" collapsed="false">
      <c r="A14" s="14" t="s">
        <v>284</v>
      </c>
      <c r="B14" s="14"/>
      <c r="C14" s="14"/>
      <c r="D14" s="14"/>
      <c r="E14" s="14"/>
      <c r="F14" s="14"/>
      <c r="G14" s="14"/>
      <c r="H14" s="14"/>
    </row>
    <row r="15" customFormat="false" ht="45" hidden="false" customHeight="true" outlineLevel="0" collapsed="false">
      <c r="A15" s="20" t="s">
        <v>285</v>
      </c>
      <c r="B15" s="20" t="s">
        <v>286</v>
      </c>
      <c r="C15" s="20" t="s">
        <v>287</v>
      </c>
      <c r="D15" s="20" t="s">
        <v>288</v>
      </c>
      <c r="E15" s="20" t="s">
        <v>289</v>
      </c>
      <c r="F15" s="20" t="s">
        <v>290</v>
      </c>
      <c r="G15" s="20" t="s">
        <v>291</v>
      </c>
      <c r="H15" s="20" t="s">
        <v>292</v>
      </c>
    </row>
    <row r="16" customFormat="false" ht="15" hidden="false" customHeight="false" outlineLevel="0" collapsed="false">
      <c r="A16" s="6" t="s">
        <v>293</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294</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295</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296</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297</v>
      </c>
      <c r="F20" s="18" t="n">
        <f aca="false">SUM(F16:F19)</f>
        <v>1</v>
      </c>
    </row>
    <row r="21" customFormat="false" ht="15" hidden="false" customHeight="false" outlineLevel="0" collapsed="false">
      <c r="A21" s="8" t="s">
        <v>298</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299</v>
      </c>
      <c r="G22" s="45" t="n">
        <f aca="false">Assumptions!$B$58*G21+(1-Assumptions!$B$58)*H21</f>
        <v>2.44980646280992</v>
      </c>
    </row>
    <row r="24" customFormat="false" ht="15" hidden="false" customHeight="false" outlineLevel="0" collapsed="false">
      <c r="A24" s="14" t="s">
        <v>300</v>
      </c>
      <c r="B24" s="14"/>
      <c r="C24" s="14"/>
      <c r="D24" s="14"/>
      <c r="E24" s="14"/>
      <c r="F24" s="14"/>
      <c r="G24" s="14"/>
      <c r="H24" s="14"/>
    </row>
    <row r="25" customFormat="false" ht="15" hidden="false" customHeight="false" outlineLevel="0" collapsed="false">
      <c r="A25" s="6" t="s">
        <v>301</v>
      </c>
      <c r="B25" s="19" t="n">
        <f aca="false">(B7-B5)*30</f>
        <v>1800</v>
      </c>
    </row>
    <row r="26" customFormat="false" ht="15" hidden="false" customHeight="false" outlineLevel="0" collapsed="false">
      <c r="A26" s="6" t="s">
        <v>302</v>
      </c>
      <c r="B26" s="19" t="n">
        <f aca="false">B12*30*(B9-B10)</f>
        <v>1800</v>
      </c>
    </row>
    <row r="27" customFormat="false" ht="15" hidden="false" customHeight="false" outlineLevel="0" collapsed="false">
      <c r="A27" s="6" t="s">
        <v>303</v>
      </c>
      <c r="B27" s="19" t="n">
        <f aca="false">B25+B26</f>
        <v>3600</v>
      </c>
    </row>
    <row r="28" customFormat="false" ht="15" hidden="false" customHeight="false" outlineLevel="0" collapsed="false">
      <c r="A28" s="6" t="s">
        <v>304</v>
      </c>
      <c r="B28" s="37" t="n">
        <f aca="false">B27*MIN(D16:D19)/100</f>
        <v>27.6646153846154</v>
      </c>
    </row>
    <row r="29" customFormat="false" ht="15" hidden="false" customHeight="false" outlineLevel="0" collapsed="false">
      <c r="A29" s="6" t="s">
        <v>305</v>
      </c>
      <c r="B29" s="16" t="n">
        <f aca="false">IF(Assumptions!$B$10=0,0,B28/Assumptions!$B$10)</f>
        <v>5.54401109912132</v>
      </c>
    </row>
    <row r="30" customFormat="false" ht="15" hidden="false" customHeight="false" outlineLevel="0" collapsed="false">
      <c r="A30" s="6" t="s">
        <v>306</v>
      </c>
      <c r="B30" s="23" t="n">
        <v>0.5</v>
      </c>
    </row>
    <row r="31" customFormat="false" ht="15" hidden="false" customHeight="false" outlineLevel="0" collapsed="false">
      <c r="A31" s="6" t="s">
        <v>307</v>
      </c>
      <c r="B31" s="16" t="n">
        <f aca="false">IF(Assumptions!$B$10=0,0,B28/(1+B30)/Assumptions!$B$10)</f>
        <v>3.69600739941421</v>
      </c>
    </row>
    <row r="32" customFormat="false" ht="15" hidden="false" customHeight="false" outlineLevel="0" collapsed="false">
      <c r="A32" s="6" t="s">
        <v>308</v>
      </c>
      <c r="B32" s="46" t="n">
        <v>1.5</v>
      </c>
    </row>
    <row r="33" customFormat="false" ht="15" hidden="false" customHeight="false" outlineLevel="0" collapsed="false">
      <c r="A33" s="6" t="s">
        <v>309</v>
      </c>
      <c r="B33" s="8" t="str">
        <f aca="false">IF(MIN(B29,B31)&gt;=B32,"yes","NO: raise the pack prices or shrink the bonus")</f>
        <v>yes</v>
      </c>
    </row>
    <row r="34" customFormat="false" ht="15" hidden="false" customHeight="false" outlineLevel="0" collapsed="false">
      <c r="A34" s="6" t="s">
        <v>310</v>
      </c>
      <c r="B34" s="19" t="n">
        <f aca="false">B13-B5</f>
        <v>65</v>
      </c>
    </row>
    <row r="36" customFormat="false" ht="31.5" hidden="false" customHeight="true" outlineLevel="0" collapsed="false">
      <c r="A36" s="40" t="s">
        <v>311</v>
      </c>
      <c r="B36" s="40"/>
      <c r="C36" s="40"/>
      <c r="D36" s="40"/>
      <c r="E36" s="40"/>
      <c r="F36" s="40"/>
      <c r="G36" s="40"/>
      <c r="H36" s="40"/>
    </row>
    <row r="37" customFormat="false" ht="31.5" hidden="false" customHeight="true" outlineLevel="0" collapsed="false">
      <c r="A37" s="40" t="s">
        <v>312</v>
      </c>
      <c r="B37" s="40"/>
      <c r="C37" s="40"/>
      <c r="D37" s="40"/>
      <c r="E37" s="40"/>
      <c r="F37" s="40"/>
      <c r="G37" s="40"/>
      <c r="H37" s="40"/>
    </row>
    <row r="38" customFormat="false" ht="31.5" hidden="false" customHeight="true" outlineLevel="0" collapsed="false">
      <c r="A38" s="40" t="s">
        <v>313</v>
      </c>
      <c r="B38" s="40"/>
      <c r="C38" s="40"/>
      <c r="D38" s="40"/>
      <c r="E38" s="40"/>
      <c r="F38" s="40"/>
      <c r="G38" s="40"/>
      <c r="H38" s="40"/>
    </row>
    <row r="39" customFormat="false" ht="31.5" hidden="false" customHeight="true" outlineLevel="0" collapsed="false">
      <c r="A39" s="40" t="s">
        <v>314</v>
      </c>
      <c r="B39" s="40"/>
      <c r="C39" s="40"/>
      <c r="D39" s="40"/>
      <c r="E39" s="40"/>
      <c r="F39" s="40"/>
      <c r="G39" s="40"/>
      <c r="H39" s="40"/>
    </row>
    <row r="41" customFormat="false" ht="15" hidden="false" customHeight="false" outlineLevel="0" collapsed="false">
      <c r="A41" s="14" t="s">
        <v>315</v>
      </c>
      <c r="B41" s="14"/>
      <c r="C41" s="14"/>
      <c r="D41" s="14"/>
      <c r="E41" s="14"/>
      <c r="F41" s="14"/>
      <c r="G41" s="14"/>
      <c r="H41" s="14"/>
    </row>
    <row r="42" customFormat="false" ht="18" hidden="false" customHeight="true" outlineLevel="0" collapsed="false">
      <c r="A42" s="20" t="s">
        <v>316</v>
      </c>
      <c r="B42" s="20" t="s">
        <v>286</v>
      </c>
      <c r="C42" s="20" t="s">
        <v>317</v>
      </c>
    </row>
    <row r="43" customFormat="false" ht="15" hidden="false" customHeight="false" outlineLevel="0" collapsed="false">
      <c r="A43" s="6" t="s">
        <v>318</v>
      </c>
      <c r="B43" s="31" t="n">
        <v>1</v>
      </c>
      <c r="C43" s="6" t="s">
        <v>319</v>
      </c>
    </row>
    <row r="44" customFormat="false" ht="15" hidden="false" customHeight="false" outlineLevel="0" collapsed="false">
      <c r="A44" s="6" t="s">
        <v>320</v>
      </c>
      <c r="B44" s="31" t="n">
        <v>1</v>
      </c>
      <c r="C44" s="6"/>
    </row>
    <row r="45" customFormat="false" ht="15" hidden="false" customHeight="false" outlineLevel="0" collapsed="false">
      <c r="A45" s="6" t="s">
        <v>321</v>
      </c>
      <c r="B45" s="31" t="n">
        <v>2</v>
      </c>
      <c r="C45" s="6" t="s">
        <v>322</v>
      </c>
    </row>
    <row r="46" customFormat="false" ht="15" hidden="false" customHeight="false" outlineLevel="0" collapsed="false">
      <c r="A46" s="6" t="s">
        <v>323</v>
      </c>
      <c r="B46" s="31" t="n">
        <v>1</v>
      </c>
      <c r="C46" s="6"/>
    </row>
    <row r="47" customFormat="false" ht="15" hidden="false" customHeight="false" outlineLevel="0" collapsed="false">
      <c r="A47" s="6" t="s">
        <v>324</v>
      </c>
      <c r="B47" s="31" t="n">
        <v>1</v>
      </c>
      <c r="C47" s="6" t="s">
        <v>325</v>
      </c>
    </row>
    <row r="48" customFormat="false" ht="15" hidden="false" customHeight="false" outlineLevel="0" collapsed="false">
      <c r="A48" s="6" t="s">
        <v>326</v>
      </c>
      <c r="B48" s="31" t="n">
        <v>1</v>
      </c>
      <c r="C48" s="6" t="s">
        <v>327</v>
      </c>
    </row>
    <row r="49" customFormat="false" ht="15" hidden="false" customHeight="false" outlineLevel="0" collapsed="false">
      <c r="A49" s="6" t="s">
        <v>328</v>
      </c>
      <c r="B49" s="31" t="n">
        <v>2</v>
      </c>
      <c r="C49" s="6" t="s">
        <v>329</v>
      </c>
    </row>
    <row r="50" customFormat="false" ht="15" hidden="false" customHeight="false" outlineLevel="0" collapsed="false">
      <c r="A50" s="6" t="s">
        <v>330</v>
      </c>
      <c r="B50" s="31" t="n">
        <v>2</v>
      </c>
      <c r="C50" s="6" t="s">
        <v>331</v>
      </c>
    </row>
    <row r="51" customFormat="false" ht="15" hidden="false" customHeight="false" outlineLevel="0" collapsed="false">
      <c r="A51" s="6" t="s">
        <v>332</v>
      </c>
      <c r="B51" s="31" t="n">
        <v>0</v>
      </c>
      <c r="C51" s="6" t="s">
        <v>333</v>
      </c>
    </row>
    <row r="52" customFormat="false" ht="15" hidden="false" customHeight="false" outlineLevel="0" collapsed="false">
      <c r="A52" s="6" t="s">
        <v>334</v>
      </c>
      <c r="B52" s="31" t="n">
        <v>2</v>
      </c>
      <c r="C52" s="6" t="s">
        <v>335</v>
      </c>
    </row>
    <row r="53" customFormat="false" ht="15" hidden="false" customHeight="false" outlineLevel="0" collapsed="false">
      <c r="A53" s="6" t="s">
        <v>336</v>
      </c>
      <c r="B53" s="31" t="s">
        <v>209</v>
      </c>
      <c r="C53" s="6" t="s">
        <v>337</v>
      </c>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338</v>
      </c>
    </row>
    <row r="2" customFormat="false" ht="15" hidden="false" customHeight="false" outlineLevel="0" collapsed="false">
      <c r="A2" s="44" t="s">
        <v>339</v>
      </c>
    </row>
    <row r="4" customFormat="false" ht="15" hidden="false" customHeight="false" outlineLevel="0" collapsed="false">
      <c r="A4" s="14" t="s">
        <v>340</v>
      </c>
      <c r="B4" s="14"/>
      <c r="C4" s="14"/>
      <c r="D4" s="14"/>
    </row>
    <row r="5" customFormat="false" ht="15" hidden="false" customHeight="false" outlineLevel="0" collapsed="false">
      <c r="A5" s="6" t="s">
        <v>341</v>
      </c>
      <c r="B5" s="39" t="n">
        <v>0.25</v>
      </c>
      <c r="C5" s="6" t="s">
        <v>342</v>
      </c>
      <c r="D5" s="6" t="s">
        <v>343</v>
      </c>
    </row>
    <row r="6" customFormat="false" ht="15" hidden="false" customHeight="false" outlineLevel="0" collapsed="false">
      <c r="A6" s="6" t="s">
        <v>344</v>
      </c>
      <c r="B6" s="39" t="n">
        <v>1.5</v>
      </c>
      <c r="C6" s="6" t="s">
        <v>342</v>
      </c>
    </row>
    <row r="7" customFormat="false" ht="15" hidden="false" customHeight="false" outlineLevel="0" collapsed="false">
      <c r="A7" s="6" t="s">
        <v>345</v>
      </c>
      <c r="B7" s="25" t="n">
        <v>0.6</v>
      </c>
      <c r="C7" s="6" t="s">
        <v>51</v>
      </c>
    </row>
    <row r="8" customFormat="false" ht="15" hidden="false" customHeight="false" outlineLevel="0" collapsed="false">
      <c r="A8" s="6" t="s">
        <v>346</v>
      </c>
      <c r="B8" s="25" t="n">
        <v>0.1</v>
      </c>
      <c r="C8" s="6" t="s">
        <v>347</v>
      </c>
    </row>
    <row r="9" customFormat="false" ht="15" hidden="false" customHeight="false" outlineLevel="0" collapsed="false">
      <c r="A9" s="6" t="s">
        <v>348</v>
      </c>
      <c r="B9" s="31" t="n">
        <v>30</v>
      </c>
      <c r="C9" s="6" t="s">
        <v>349</v>
      </c>
    </row>
    <row r="10" customFormat="false" ht="15" hidden="false" customHeight="false" outlineLevel="0" collapsed="false">
      <c r="A10" s="6" t="s">
        <v>350</v>
      </c>
      <c r="B10" s="24" t="n">
        <v>0.1</v>
      </c>
      <c r="C10" s="6" t="s">
        <v>351</v>
      </c>
      <c r="D10" s="6" t="s">
        <v>352</v>
      </c>
    </row>
    <row r="12" customFormat="false" ht="45" hidden="false" customHeight="true" outlineLevel="0" collapsed="false">
      <c r="A12" s="20" t="s">
        <v>353</v>
      </c>
      <c r="B12" s="20" t="s">
        <v>354</v>
      </c>
      <c r="C12" s="20" t="s">
        <v>355</v>
      </c>
      <c r="D12" s="20" t="s">
        <v>356</v>
      </c>
      <c r="E12" s="20" t="s">
        <v>357</v>
      </c>
      <c r="F12" s="20" t="s">
        <v>358</v>
      </c>
      <c r="G12" s="20" t="s">
        <v>359</v>
      </c>
      <c r="H12" s="20" t="s">
        <v>360</v>
      </c>
      <c r="I12" s="20" t="s">
        <v>361</v>
      </c>
      <c r="J12" s="20" t="s">
        <v>362</v>
      </c>
      <c r="K12" s="20" t="s">
        <v>363</v>
      </c>
      <c r="L12" s="20" t="s">
        <v>364</v>
      </c>
      <c r="M12" s="20" t="s">
        <v>365</v>
      </c>
      <c r="N12" s="20" t="s">
        <v>366</v>
      </c>
    </row>
    <row r="13" customFormat="false" ht="30" hidden="false" customHeight="true" outlineLevel="0" collapsed="false">
      <c r="A13" s="47" t="s">
        <v>367</v>
      </c>
      <c r="B13" s="48" t="n">
        <v>35</v>
      </c>
      <c r="C13" s="49" t="n">
        <v>1300</v>
      </c>
      <c r="D13" s="49" t="n">
        <v>2000</v>
      </c>
      <c r="E13" s="50" t="n">
        <f aca="false">B13*(C13*$B$5*(1-$B$7+$B$7*$B$8)+D13*$B$6)/1000000</f>
        <v>0.1102325</v>
      </c>
      <c r="F13" s="51" t="s">
        <v>368</v>
      </c>
      <c r="G13" s="52" t="n">
        <v>0</v>
      </c>
      <c r="H13" s="52" t="n">
        <v>0</v>
      </c>
      <c r="I13" s="52" t="n">
        <v>0</v>
      </c>
      <c r="J13" s="53" t="n">
        <f aca="false">IF(F13="day",$B$9,1)</f>
        <v>1</v>
      </c>
      <c r="K13" s="54" t="n">
        <f aca="false">G13*$E13*$J13</f>
        <v>0</v>
      </c>
      <c r="L13" s="54" t="n">
        <f aca="false">H13*$E13*$J13</f>
        <v>0</v>
      </c>
      <c r="M13" s="54" t="n">
        <f aca="false">I13*$E13*$J13</f>
        <v>0</v>
      </c>
      <c r="N13" s="55" t="s">
        <v>369</v>
      </c>
    </row>
    <row r="14" customFormat="false" ht="30" hidden="false" customHeight="true" outlineLevel="0" collapsed="false">
      <c r="A14" s="47" t="s">
        <v>370</v>
      </c>
      <c r="B14" s="48" t="n">
        <v>1.3</v>
      </c>
      <c r="C14" s="49" t="n">
        <v>2700</v>
      </c>
      <c r="D14" s="49" t="n">
        <v>3000</v>
      </c>
      <c r="E14" s="50" t="n">
        <f aca="false">B14*(C14*$B$5*(1-$B$7+$B$7*$B$8)+D14*$B$6)/1000000</f>
        <v>0.00625365</v>
      </c>
      <c r="F14" s="51" t="s">
        <v>371</v>
      </c>
      <c r="G14" s="52" t="n">
        <v>0</v>
      </c>
      <c r="H14" s="52" t="n">
        <v>0</v>
      </c>
      <c r="I14" s="52" t="n">
        <v>0</v>
      </c>
      <c r="J14" s="53" t="n">
        <f aca="false">IF(F14="day",$B$9,1)</f>
        <v>30</v>
      </c>
      <c r="K14" s="54" t="n">
        <f aca="false">G14*$E14*$J14</f>
        <v>0</v>
      </c>
      <c r="L14" s="54" t="n">
        <f aca="false">H14*$E14*$J14</f>
        <v>0</v>
      </c>
      <c r="M14" s="54" t="n">
        <f aca="false">I14*$E14*$J14</f>
        <v>0</v>
      </c>
      <c r="N14" s="55" t="s">
        <v>372</v>
      </c>
    </row>
    <row r="15" customFormat="false" ht="30" hidden="false" customHeight="true" outlineLevel="0" collapsed="false">
      <c r="A15" s="47" t="s">
        <v>373</v>
      </c>
      <c r="B15" s="48" t="n">
        <v>1</v>
      </c>
      <c r="C15" s="49" t="n">
        <v>900</v>
      </c>
      <c r="D15" s="49" t="n">
        <v>400</v>
      </c>
      <c r="E15" s="50" t="n">
        <f aca="false">B15*(C15*$B$5*(1-$B$7+$B$7*$B$8)+D15*$B$6)/1000000</f>
        <v>0.0007035</v>
      </c>
      <c r="F15" s="51" t="s">
        <v>371</v>
      </c>
      <c r="G15" s="52" t="n">
        <v>3</v>
      </c>
      <c r="H15" s="52" t="n">
        <v>15</v>
      </c>
      <c r="I15" s="52" t="n">
        <v>25</v>
      </c>
      <c r="J15" s="53" t="n">
        <f aca="false">IF(F15="day",$B$9,1)</f>
        <v>30</v>
      </c>
      <c r="K15" s="54" t="n">
        <f aca="false">G15*$E15*$J15</f>
        <v>0.063315</v>
      </c>
      <c r="L15" s="54" t="n">
        <f aca="false">H15*$E15*$J15</f>
        <v>0.316575</v>
      </c>
      <c r="M15" s="54" t="n">
        <f aca="false">I15*$E15*$J15</f>
        <v>0.527625</v>
      </c>
      <c r="N15" s="55" t="s">
        <v>374</v>
      </c>
    </row>
    <row r="16" customFormat="false" ht="30" hidden="false" customHeight="true" outlineLevel="0" collapsed="false">
      <c r="A16" s="47" t="s">
        <v>375</v>
      </c>
      <c r="B16" s="48" t="n">
        <v>1</v>
      </c>
      <c r="C16" s="49" t="n">
        <v>600</v>
      </c>
      <c r="D16" s="49" t="n">
        <v>400</v>
      </c>
      <c r="E16" s="50" t="n">
        <f aca="false">B16*(C16*$B$5*(1-$B$7+$B$7*$B$8)+D16*$B$6)/1000000</f>
        <v>0.000669</v>
      </c>
      <c r="F16" s="51" t="s">
        <v>371</v>
      </c>
      <c r="G16" s="52" t="n">
        <v>3</v>
      </c>
      <c r="H16" s="52" t="n">
        <v>15</v>
      </c>
      <c r="I16" s="52" t="n">
        <v>25</v>
      </c>
      <c r="J16" s="53" t="n">
        <f aca="false">IF(F16="day",$B$9,1)</f>
        <v>30</v>
      </c>
      <c r="K16" s="54" t="n">
        <f aca="false">G16*$E16*$J16</f>
        <v>0.06021</v>
      </c>
      <c r="L16" s="54" t="n">
        <f aca="false">H16*$E16*$J16</f>
        <v>0.30105</v>
      </c>
      <c r="M16" s="54" t="n">
        <f aca="false">I16*$E16*$J16</f>
        <v>0.50175</v>
      </c>
      <c r="N16" s="55" t="s">
        <v>376</v>
      </c>
    </row>
    <row r="17" customFormat="false" ht="30" hidden="false" customHeight="true" outlineLevel="0" collapsed="false">
      <c r="A17" s="47" t="s">
        <v>377</v>
      </c>
      <c r="B17" s="48" t="n">
        <v>1</v>
      </c>
      <c r="C17" s="49" t="n">
        <v>1700</v>
      </c>
      <c r="D17" s="49" t="n">
        <v>450</v>
      </c>
      <c r="E17" s="50" t="n">
        <f aca="false">B17*(C17*$B$5*(1-$B$7+$B$7*$B$8)+D17*$B$6)/1000000</f>
        <v>0.0008705</v>
      </c>
      <c r="F17" s="51" t="s">
        <v>371</v>
      </c>
      <c r="G17" s="52" t="n">
        <v>6</v>
      </c>
      <c r="H17" s="52" t="n">
        <v>18</v>
      </c>
      <c r="I17" s="52" t="n">
        <v>30</v>
      </c>
      <c r="J17" s="53" t="n">
        <f aca="false">IF(F17="day",$B$9,1)</f>
        <v>30</v>
      </c>
      <c r="K17" s="54" t="n">
        <f aca="false">G17*$E17*$J17</f>
        <v>0.15669</v>
      </c>
      <c r="L17" s="54" t="n">
        <f aca="false">H17*$E17*$J17</f>
        <v>0.47007</v>
      </c>
      <c r="M17" s="54" t="n">
        <f aca="false">I17*$E17*$J17</f>
        <v>0.78345</v>
      </c>
      <c r="N17" s="55" t="s">
        <v>378</v>
      </c>
    </row>
    <row r="18" customFormat="false" ht="30" hidden="false" customHeight="true" outlineLevel="0" collapsed="false">
      <c r="A18" s="47" t="s">
        <v>379</v>
      </c>
      <c r="B18" s="48" t="n">
        <v>1</v>
      </c>
      <c r="C18" s="49" t="n">
        <v>1100</v>
      </c>
      <c r="D18" s="49" t="n">
        <v>400</v>
      </c>
      <c r="E18" s="50" t="n">
        <f aca="false">B18*(C18*$B$5*(1-$B$7+$B$7*$B$8)+D18*$B$6)/1000000</f>
        <v>0.0007265</v>
      </c>
      <c r="F18" s="51" t="s">
        <v>371</v>
      </c>
      <c r="G18" s="52" t="n">
        <v>2</v>
      </c>
      <c r="H18" s="52" t="n">
        <v>8</v>
      </c>
      <c r="I18" s="52" t="n">
        <v>15</v>
      </c>
      <c r="J18" s="53" t="n">
        <f aca="false">IF(F18="day",$B$9,1)</f>
        <v>30</v>
      </c>
      <c r="K18" s="54" t="n">
        <f aca="false">G18*$E18*$J18</f>
        <v>0.04359</v>
      </c>
      <c r="L18" s="54" t="n">
        <f aca="false">H18*$E18*$J18</f>
        <v>0.17436</v>
      </c>
      <c r="M18" s="54" t="n">
        <f aca="false">I18*$E18*$J18</f>
        <v>0.326925</v>
      </c>
      <c r="N18" s="55" t="s">
        <v>380</v>
      </c>
    </row>
    <row r="19" customFormat="false" ht="30" hidden="false" customHeight="true" outlineLevel="0" collapsed="false">
      <c r="A19" s="47" t="s">
        <v>381</v>
      </c>
      <c r="B19" s="48" t="n">
        <v>1</v>
      </c>
      <c r="C19" s="49" t="n">
        <v>1400</v>
      </c>
      <c r="D19" s="49" t="n">
        <v>120</v>
      </c>
      <c r="E19" s="50" t="n">
        <f aca="false">B19*(C19*$B$5*(1-$B$7+$B$7*$B$8)+D19*$B$6)/1000000</f>
        <v>0.000341</v>
      </c>
      <c r="F19" s="51" t="s">
        <v>371</v>
      </c>
      <c r="G19" s="52" t="n">
        <v>5</v>
      </c>
      <c r="H19" s="52" t="n">
        <v>20</v>
      </c>
      <c r="I19" s="52" t="n">
        <v>40</v>
      </c>
      <c r="J19" s="53" t="n">
        <f aca="false">IF(F19="day",$B$9,1)</f>
        <v>30</v>
      </c>
      <c r="K19" s="54" t="n">
        <f aca="false">G19*$E19*$J19</f>
        <v>0.05115</v>
      </c>
      <c r="L19" s="54" t="n">
        <f aca="false">H19*$E19*$J19</f>
        <v>0.2046</v>
      </c>
      <c r="M19" s="54" t="n">
        <f aca="false">I19*$E19*$J19</f>
        <v>0.4092</v>
      </c>
      <c r="N19" s="55" t="s">
        <v>382</v>
      </c>
    </row>
    <row r="20" customFormat="false" ht="30" hidden="false" customHeight="true" outlineLevel="0" collapsed="false">
      <c r="A20" s="47" t="s">
        <v>383</v>
      </c>
      <c r="B20" s="48" t="n">
        <v>1</v>
      </c>
      <c r="C20" s="49" t="n">
        <v>400</v>
      </c>
      <c r="D20" s="49" t="n">
        <v>500</v>
      </c>
      <c r="E20" s="50" t="n">
        <f aca="false">B20*(C20*$B$5*(1-$B$7+$B$7*$B$8)+D20*$B$6)/1000000</f>
        <v>0.000796</v>
      </c>
      <c r="F20" s="51" t="s">
        <v>371</v>
      </c>
      <c r="G20" s="52" t="n">
        <v>5</v>
      </c>
      <c r="H20" s="52" t="n">
        <v>15</v>
      </c>
      <c r="I20" s="52" t="n">
        <v>30</v>
      </c>
      <c r="J20" s="53" t="n">
        <f aca="false">IF(F20="day",$B$9,1)</f>
        <v>30</v>
      </c>
      <c r="K20" s="54" t="n">
        <f aca="false">G20*$E20*$J20</f>
        <v>0.1194</v>
      </c>
      <c r="L20" s="54" t="n">
        <f aca="false">H20*$E20*$J20</f>
        <v>0.3582</v>
      </c>
      <c r="M20" s="54" t="n">
        <f aca="false">I20*$E20*$J20</f>
        <v>0.7164</v>
      </c>
      <c r="N20" s="55" t="s">
        <v>384</v>
      </c>
    </row>
    <row r="21" customFormat="false" ht="30" hidden="false" customHeight="true" outlineLevel="0" collapsed="false">
      <c r="A21" s="47" t="s">
        <v>385</v>
      </c>
      <c r="B21" s="48" t="n">
        <v>1</v>
      </c>
      <c r="C21" s="49" t="n">
        <v>1400</v>
      </c>
      <c r="D21" s="49" t="n">
        <v>400</v>
      </c>
      <c r="E21" s="50" t="n">
        <f aca="false">B21*(C21*$B$5*(1-$B$7+$B$7*$B$8)+D21*$B$6)/1000000</f>
        <v>0.000761</v>
      </c>
      <c r="F21" s="51" t="s">
        <v>371</v>
      </c>
      <c r="G21" s="52" t="n">
        <v>1</v>
      </c>
      <c r="H21" s="52" t="n">
        <v>5</v>
      </c>
      <c r="I21" s="52" t="n">
        <v>15</v>
      </c>
      <c r="J21" s="53" t="n">
        <f aca="false">IF(F21="day",$B$9,1)</f>
        <v>30</v>
      </c>
      <c r="K21" s="54" t="n">
        <f aca="false">G21*$E21*$J21</f>
        <v>0.02283</v>
      </c>
      <c r="L21" s="54" t="n">
        <f aca="false">H21*$E21*$J21</f>
        <v>0.11415</v>
      </c>
      <c r="M21" s="54" t="n">
        <f aca="false">I21*$E21*$J21</f>
        <v>0.34245</v>
      </c>
      <c r="N21" s="55" t="s">
        <v>386</v>
      </c>
    </row>
    <row r="22" customFormat="false" ht="30" hidden="false" customHeight="true" outlineLevel="0" collapsed="false">
      <c r="A22" s="47" t="s">
        <v>387</v>
      </c>
      <c r="B22" s="48" t="n">
        <v>1</v>
      </c>
      <c r="C22" s="49" t="n">
        <v>900</v>
      </c>
      <c r="D22" s="49" t="n">
        <v>700</v>
      </c>
      <c r="E22" s="50" t="n">
        <f aca="false">B22*(C22*$B$5*(1-$B$7+$B$7*$B$8)+D22*$B$6)/1000000</f>
        <v>0.0011535</v>
      </c>
      <c r="F22" s="51" t="s">
        <v>371</v>
      </c>
      <c r="G22" s="52" t="n">
        <v>2</v>
      </c>
      <c r="H22" s="52" t="n">
        <v>8</v>
      </c>
      <c r="I22" s="52" t="n">
        <v>20</v>
      </c>
      <c r="J22" s="53" t="n">
        <f aca="false">IF(F22="day",$B$9,1)</f>
        <v>30</v>
      </c>
      <c r="K22" s="54" t="n">
        <f aca="false">G22*$E22*$J22</f>
        <v>0.06921</v>
      </c>
      <c r="L22" s="54" t="n">
        <f aca="false">H22*$E22*$J22</f>
        <v>0.27684</v>
      </c>
      <c r="M22" s="54" t="n">
        <f aca="false">I22*$E22*$J22</f>
        <v>0.6921</v>
      </c>
      <c r="N22" s="55" t="s">
        <v>388</v>
      </c>
    </row>
    <row r="23" customFormat="false" ht="30" hidden="false" customHeight="true" outlineLevel="0" collapsed="false">
      <c r="A23" s="47" t="s">
        <v>389</v>
      </c>
      <c r="B23" s="48" t="n">
        <v>1</v>
      </c>
      <c r="C23" s="49" t="n">
        <v>1400</v>
      </c>
      <c r="D23" s="49" t="n">
        <v>900</v>
      </c>
      <c r="E23" s="50" t="n">
        <f aca="false">B23*(C23*$B$5*(1-$B$7+$B$7*$B$8)+D23*$B$6)/1000000</f>
        <v>0.001511</v>
      </c>
      <c r="F23" s="51" t="s">
        <v>371</v>
      </c>
      <c r="G23" s="52" t="n">
        <v>0</v>
      </c>
      <c r="H23" s="52" t="n">
        <v>2</v>
      </c>
      <c r="I23" s="52" t="n">
        <v>5</v>
      </c>
      <c r="J23" s="53" t="n">
        <f aca="false">IF(F23="day",$B$9,1)</f>
        <v>30</v>
      </c>
      <c r="K23" s="54" t="n">
        <f aca="false">G23*$E23*$J23</f>
        <v>0</v>
      </c>
      <c r="L23" s="54" t="n">
        <f aca="false">H23*$E23*$J23</f>
        <v>0.09066</v>
      </c>
      <c r="M23" s="54" t="n">
        <f aca="false">I23*$E23*$J23</f>
        <v>0.22665</v>
      </c>
      <c r="N23" s="55" t="s">
        <v>390</v>
      </c>
    </row>
    <row r="24" customFormat="false" ht="15" hidden="false" customHeight="false" outlineLevel="0" collapsed="false">
      <c r="A24" s="8" t="s">
        <v>391</v>
      </c>
      <c r="K24" s="56" t="n">
        <f aca="false">SUM(K13:K23)</f>
        <v>0.586395</v>
      </c>
      <c r="L24" s="56" t="n">
        <f aca="false">SUM(L13:L23)</f>
        <v>2.306505</v>
      </c>
      <c r="M24" s="56" t="n">
        <f aca="false">SUM(M13:M23)</f>
        <v>4.52655</v>
      </c>
    </row>
    <row r="25" customFormat="false" ht="30" hidden="false" customHeight="true" outlineLevel="0" collapsed="false">
      <c r="A25" s="8" t="s">
        <v>392</v>
      </c>
      <c r="G25" s="57" t="n">
        <v>0.01</v>
      </c>
      <c r="H25" s="57" t="n">
        <v>0.08</v>
      </c>
      <c r="I25" s="57" t="n">
        <v>0.1</v>
      </c>
      <c r="K25" s="58" t="n">
        <f aca="false">G25*$B$9</f>
        <v>0.3</v>
      </c>
      <c r="L25" s="58" t="n">
        <f aca="false">H25*$B$9</f>
        <v>2.4</v>
      </c>
      <c r="M25" s="58" t="n">
        <f aca="false">I25*$B$9</f>
        <v>3</v>
      </c>
      <c r="N25" s="22" t="s">
        <v>393</v>
      </c>
    </row>
    <row r="26" customFormat="false" ht="15" hidden="false" customHeight="false" outlineLevel="0" collapsed="false">
      <c r="A26" s="8" t="s">
        <v>394</v>
      </c>
      <c r="K26" s="59" t="n">
        <f aca="false">MIN(K24,K25)</f>
        <v>0.3</v>
      </c>
      <c r="L26" s="59" t="n">
        <f aca="false">MIN(L24,L25)</f>
        <v>2.306505</v>
      </c>
      <c r="M26" s="59" t="n">
        <f aca="false">MIN(M24,M25)</f>
        <v>3</v>
      </c>
    </row>
    <row r="27" customFormat="false" ht="15" hidden="false" customHeight="false" outlineLevel="0" collapsed="false">
      <c r="A27" s="6" t="s">
        <v>395</v>
      </c>
      <c r="K27" s="37" t="n">
        <f aca="false">K26*Assumptions!$B$6*(1+Assumptions!$B$8)</f>
        <v>0.31218</v>
      </c>
      <c r="L27" s="37" t="n">
        <f aca="false">L26*Assumptions!$B$6*(1+Assumptions!$B$8)</f>
        <v>2.400149103</v>
      </c>
      <c r="M27" s="37" t="n">
        <f aca="false">M26*Assumptions!$B$6*(1+Assumptions!$B$8)</f>
        <v>3.1218</v>
      </c>
    </row>
    <row r="28" customFormat="false" ht="15" hidden="false" customHeight="false" outlineLevel="0" collapsed="false">
      <c r="A28" s="6" t="s">
        <v>396</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397</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398</v>
      </c>
      <c r="B31" s="14"/>
      <c r="C31" s="14"/>
      <c r="D31" s="14"/>
      <c r="E31" s="14"/>
      <c r="F31" s="14"/>
      <c r="G31" s="14"/>
    </row>
    <row r="32" customFormat="false" ht="30" hidden="false" customHeight="true" outlineLevel="0" collapsed="false">
      <c r="A32" s="20" t="s">
        <v>227</v>
      </c>
      <c r="B32" s="20" t="s">
        <v>399</v>
      </c>
      <c r="C32" s="20" t="s">
        <v>400</v>
      </c>
      <c r="D32" s="20" t="s">
        <v>401</v>
      </c>
      <c r="E32" s="20" t="s">
        <v>402</v>
      </c>
      <c r="F32" s="20" t="s">
        <v>403</v>
      </c>
      <c r="G32" s="20" t="s">
        <v>404</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2.306505</v>
      </c>
      <c r="E33" s="58" t="n">
        <f aca="false">MIN(SUMPRODUCT(ROUNDDOWN($I$13:$I$23*C33,0),$E$13:$E$23,$J$13:$J$23),$I$25*C33*$B$9)</f>
        <v>3</v>
      </c>
      <c r="F33" s="37" t="n">
        <f aca="false">D33*Assumptions!$B$6*(1+Assumptions!$B$8)</f>
        <v>2.400149103</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1.66077</v>
      </c>
      <c r="E34" s="58" t="n">
        <f aca="false">MIN(SUMPRODUCT(ROUNDDOWN($I$13:$I$23*C34,0),$E$13:$E$23,$J$13:$J$23),$I$25*C34*$B$9)</f>
        <v>2.25</v>
      </c>
      <c r="F34" s="37" t="n">
        <f aca="false">D34*Assumptions!$B$6*(1+Assumptions!$B$8)</f>
        <v>1.728197262</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1.184595</v>
      </c>
      <c r="E35" s="58" t="n">
        <f aca="false">MIN(SUMPRODUCT(ROUNDDOWN($I$13:$I$23*C35,0),$E$13:$E$23,$J$13:$J$23),$I$25*C35*$B$9)</f>
        <v>1.65</v>
      </c>
      <c r="F35" s="37" t="n">
        <f aca="false">D35*Assumptions!$B$6*(1+Assumptions!$B$8)</f>
        <v>1.232689557</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405</v>
      </c>
      <c r="B38" s="40"/>
      <c r="C38" s="40"/>
      <c r="D38" s="40"/>
      <c r="E38" s="40"/>
      <c r="F38" s="40"/>
      <c r="G38" s="40"/>
      <c r="H38" s="40"/>
      <c r="I38" s="40"/>
      <c r="J38" s="40"/>
      <c r="K38" s="40"/>
      <c r="L38" s="40"/>
      <c r="M38" s="40"/>
      <c r="N38" s="40"/>
    </row>
    <row r="39" customFormat="false" ht="15" hidden="false" customHeight="true" outlineLevel="0" collapsed="false">
      <c r="A39" s="40" t="s">
        <v>406</v>
      </c>
      <c r="B39" s="40"/>
      <c r="C39" s="40"/>
      <c r="D39" s="40"/>
      <c r="E39" s="40"/>
      <c r="F39" s="40"/>
      <c r="G39" s="40"/>
      <c r="H39" s="40"/>
      <c r="I39" s="40"/>
      <c r="J39" s="40"/>
      <c r="K39" s="40"/>
      <c r="L39" s="40"/>
      <c r="M39" s="40"/>
      <c r="N39" s="40"/>
    </row>
    <row r="40" customFormat="false" ht="31.5" hidden="false" customHeight="true" outlineLevel="0" collapsed="false">
      <c r="A40" s="40" t="s">
        <v>407</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408</v>
      </c>
    </row>
    <row r="2" customFormat="false" ht="15" hidden="false" customHeight="true" outlineLevel="0" collapsed="false">
      <c r="A2" s="3" t="s">
        <v>409</v>
      </c>
    </row>
    <row r="4" customFormat="false" ht="15" hidden="false" customHeight="true" outlineLevel="0" collapsed="false">
      <c r="A4" s="20" t="s">
        <v>410</v>
      </c>
      <c r="B4" s="20" t="s">
        <v>411</v>
      </c>
      <c r="C4" s="20" t="s">
        <v>412</v>
      </c>
      <c r="D4" s="20" t="s">
        <v>413</v>
      </c>
      <c r="E4" s="20" t="s">
        <v>414</v>
      </c>
      <c r="F4" s="20" t="s">
        <v>415</v>
      </c>
      <c r="G4" s="20" t="s">
        <v>416</v>
      </c>
      <c r="H4" s="20" t="s">
        <v>417</v>
      </c>
      <c r="I4" s="20" t="s">
        <v>418</v>
      </c>
      <c r="J4" s="20" t="s">
        <v>419</v>
      </c>
      <c r="K4" s="20" t="s">
        <v>420</v>
      </c>
    </row>
    <row r="5" customFormat="false" ht="26.25" hidden="false" customHeight="true" outlineLevel="0" collapsed="false">
      <c r="A5" s="6" t="s">
        <v>421</v>
      </c>
      <c r="B5" s="6" t="s">
        <v>422</v>
      </c>
      <c r="C5" s="62" t="s">
        <v>95</v>
      </c>
      <c r="D5" s="63" t="s">
        <v>423</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424</v>
      </c>
    </row>
    <row r="6" customFormat="false" ht="26.25" hidden="false" customHeight="true" outlineLevel="0" collapsed="false">
      <c r="A6" s="6" t="s">
        <v>425</v>
      </c>
      <c r="B6" s="6" t="s">
        <v>422</v>
      </c>
      <c r="C6" s="62" t="s">
        <v>95</v>
      </c>
      <c r="D6" s="63" t="s">
        <v>423</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426</v>
      </c>
    </row>
    <row r="7" customFormat="false" ht="26.25" hidden="false" customHeight="true" outlineLevel="0" collapsed="false">
      <c r="A7" s="6" t="s">
        <v>427</v>
      </c>
      <c r="B7" s="6" t="s">
        <v>422</v>
      </c>
      <c r="C7" s="62" t="s">
        <v>95</v>
      </c>
      <c r="D7" s="63" t="s">
        <v>423</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428</v>
      </c>
    </row>
    <row r="8" customFormat="false" ht="15" hidden="false" customHeight="true" outlineLevel="0" collapsed="false">
      <c r="A8" s="6" t="s">
        <v>429</v>
      </c>
      <c r="B8" s="6" t="s">
        <v>422</v>
      </c>
      <c r="C8" s="62" t="s">
        <v>95</v>
      </c>
      <c r="D8" s="63" t="s">
        <v>423</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430</v>
      </c>
    </row>
    <row r="9" customFormat="false" ht="15" hidden="false" customHeight="true" outlineLevel="0" collapsed="false">
      <c r="A9" s="6" t="s">
        <v>431</v>
      </c>
      <c r="B9" s="6" t="s">
        <v>422</v>
      </c>
      <c r="C9" s="62" t="s">
        <v>432</v>
      </c>
      <c r="D9" s="63" t="s">
        <v>423</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433</v>
      </c>
    </row>
    <row r="10" customFormat="false" ht="15" hidden="false" customHeight="true" outlineLevel="0" collapsed="false">
      <c r="A10" s="6" t="s">
        <v>434</v>
      </c>
      <c r="B10" s="6" t="s">
        <v>422</v>
      </c>
      <c r="C10" s="62" t="s">
        <v>95</v>
      </c>
      <c r="D10" s="63" t="s">
        <v>423</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435</v>
      </c>
    </row>
    <row r="11" customFormat="false" ht="15" hidden="false" customHeight="true" outlineLevel="0" collapsed="false">
      <c r="A11" s="6" t="s">
        <v>436</v>
      </c>
      <c r="B11" s="6" t="s">
        <v>422</v>
      </c>
      <c r="C11" s="62" t="s">
        <v>432</v>
      </c>
      <c r="D11" s="63" t="s">
        <v>423</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437</v>
      </c>
    </row>
    <row r="12" customFormat="false" ht="15" hidden="false" customHeight="true" outlineLevel="0" collapsed="false">
      <c r="A12" s="6" t="s">
        <v>438</v>
      </c>
      <c r="B12" s="6" t="s">
        <v>422</v>
      </c>
      <c r="C12" s="62" t="s">
        <v>432</v>
      </c>
      <c r="D12" s="63" t="s">
        <v>423</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439</v>
      </c>
    </row>
    <row r="13" customFormat="false" ht="15" hidden="false" customHeight="true" outlineLevel="0" collapsed="false">
      <c r="A13" s="6" t="s">
        <v>440</v>
      </c>
      <c r="B13" s="6" t="s">
        <v>422</v>
      </c>
      <c r="C13" s="62" t="s">
        <v>95</v>
      </c>
      <c r="D13" s="63" t="s">
        <v>423</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441</v>
      </c>
    </row>
    <row r="14" customFormat="false" ht="15" hidden="false" customHeight="true" outlineLevel="0" collapsed="false">
      <c r="A14" s="6" t="s">
        <v>442</v>
      </c>
      <c r="B14" s="6" t="s">
        <v>422</v>
      </c>
      <c r="C14" s="62" t="s">
        <v>95</v>
      </c>
      <c r="D14" s="63" t="s">
        <v>423</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443</v>
      </c>
    </row>
    <row r="15" customFormat="false" ht="15" hidden="false" customHeight="true" outlineLevel="0" collapsed="false">
      <c r="A15" s="6" t="s">
        <v>444</v>
      </c>
      <c r="B15" s="6" t="s">
        <v>445</v>
      </c>
      <c r="C15" s="62" t="s">
        <v>95</v>
      </c>
      <c r="D15" s="63" t="s">
        <v>446</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447</v>
      </c>
    </row>
    <row r="16" customFormat="false" ht="15" hidden="false" customHeight="true" outlineLevel="0" collapsed="false">
      <c r="A16" s="6" t="s">
        <v>448</v>
      </c>
      <c r="B16" s="6" t="s">
        <v>445</v>
      </c>
      <c r="C16" s="62" t="s">
        <v>432</v>
      </c>
      <c r="D16" s="63" t="s">
        <v>423</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449</v>
      </c>
    </row>
    <row r="17" customFormat="false" ht="15" hidden="false" customHeight="true" outlineLevel="0" collapsed="false">
      <c r="A17" s="6" t="s">
        <v>450</v>
      </c>
      <c r="B17" s="6" t="s">
        <v>445</v>
      </c>
      <c r="C17" s="62" t="s">
        <v>432</v>
      </c>
      <c r="D17" s="63" t="s">
        <v>423</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451</v>
      </c>
      <c r="B18" s="6" t="s">
        <v>445</v>
      </c>
      <c r="C18" s="62" t="s">
        <v>95</v>
      </c>
      <c r="D18" s="63" t="s">
        <v>446</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452</v>
      </c>
    </row>
    <row r="19" customFormat="false" ht="15" hidden="false" customHeight="true" outlineLevel="0" collapsed="false">
      <c r="A19" s="6" t="s">
        <v>453</v>
      </c>
      <c r="B19" s="6" t="s">
        <v>445</v>
      </c>
      <c r="C19" s="62" t="s">
        <v>95</v>
      </c>
      <c r="D19" s="63" t="s">
        <v>423</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454</v>
      </c>
    </row>
    <row r="20" customFormat="false" ht="26.25" hidden="false" customHeight="true" outlineLevel="0" collapsed="false">
      <c r="A20" s="6" t="s">
        <v>455</v>
      </c>
      <c r="B20" s="6" t="s">
        <v>445</v>
      </c>
      <c r="C20" s="62" t="s">
        <v>95</v>
      </c>
      <c r="D20" s="63" t="s">
        <v>423</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456</v>
      </c>
    </row>
    <row r="21" customFormat="false" ht="15" hidden="false" customHeight="true" outlineLevel="0" collapsed="false">
      <c r="A21" s="6" t="s">
        <v>457</v>
      </c>
      <c r="B21" s="6" t="s">
        <v>458</v>
      </c>
      <c r="C21" s="62" t="s">
        <v>432</v>
      </c>
      <c r="D21" s="63" t="s">
        <v>423</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459</v>
      </c>
    </row>
    <row r="23" customFormat="false" ht="15" hidden="false" customHeight="true" outlineLevel="0" collapsed="false">
      <c r="A23" s="8" t="s">
        <v>460</v>
      </c>
      <c r="H23" s="65" t="n">
        <f aca="false">SUMIFS(H5:H21,$C$5:$C$21,"Y")</f>
        <v>418.921</v>
      </c>
      <c r="I23" s="65" t="n">
        <f aca="false">SUMIFS(I5:I21,$C$5:$C$21,"Y")</f>
        <v>979.327</v>
      </c>
      <c r="J23" s="65" t="n">
        <f aca="false">SUMIFS(J5:J21,$C$5:$C$21,"Y")</f>
        <v>2250.139</v>
      </c>
    </row>
    <row r="24" customFormat="false" ht="15" hidden="false" customHeight="true" outlineLevel="0" collapsed="false">
      <c r="A24" s="8" t="s">
        <v>461</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462</v>
      </c>
    </row>
    <row r="2" customFormat="false" ht="15" hidden="false" customHeight="true" outlineLevel="0" collapsed="false">
      <c r="A2" s="3" t="s">
        <v>463</v>
      </c>
    </row>
    <row r="4" customFormat="false" ht="15" hidden="false" customHeight="true" outlineLevel="0" collapsed="false">
      <c r="A4" s="20" t="s">
        <v>410</v>
      </c>
      <c r="B4" s="20" t="s">
        <v>411</v>
      </c>
      <c r="C4" s="20" t="s">
        <v>412</v>
      </c>
      <c r="D4" s="20" t="s">
        <v>413</v>
      </c>
      <c r="E4" s="20" t="s">
        <v>464</v>
      </c>
      <c r="F4" s="20" t="s">
        <v>465</v>
      </c>
      <c r="G4" s="20" t="s">
        <v>466</v>
      </c>
      <c r="H4" s="20" t="s">
        <v>467</v>
      </c>
      <c r="I4" s="20" t="s">
        <v>468</v>
      </c>
      <c r="J4" s="20" t="s">
        <v>469</v>
      </c>
      <c r="K4" s="20" t="s">
        <v>470</v>
      </c>
      <c r="L4" s="20" t="s">
        <v>420</v>
      </c>
    </row>
    <row r="5" customFormat="false" ht="15" hidden="false" customHeight="true" outlineLevel="0" collapsed="false">
      <c r="A5" s="6" t="s">
        <v>471</v>
      </c>
      <c r="B5" s="6" t="s">
        <v>472</v>
      </c>
      <c r="C5" s="62" t="s">
        <v>95</v>
      </c>
      <c r="D5" s="63" t="s">
        <v>446</v>
      </c>
      <c r="E5" s="63" t="s">
        <v>368</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473</v>
      </c>
    </row>
    <row r="6" customFormat="false" ht="15" hidden="false" customHeight="true" outlineLevel="0" collapsed="false">
      <c r="A6" s="6" t="s">
        <v>474</v>
      </c>
      <c r="B6" s="6" t="s">
        <v>472</v>
      </c>
      <c r="C6" s="62" t="s">
        <v>95</v>
      </c>
      <c r="D6" s="63" t="s">
        <v>446</v>
      </c>
      <c r="E6" s="63" t="s">
        <v>368</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475</v>
      </c>
    </row>
    <row r="7" customFormat="false" ht="15" hidden="false" customHeight="true" outlineLevel="0" collapsed="false">
      <c r="A7" s="6" t="s">
        <v>476</v>
      </c>
      <c r="B7" s="6" t="s">
        <v>472</v>
      </c>
      <c r="C7" s="62" t="s">
        <v>95</v>
      </c>
      <c r="D7" s="63" t="s">
        <v>446</v>
      </c>
      <c r="E7" s="63" t="s">
        <v>368</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477</v>
      </c>
    </row>
    <row r="8" customFormat="false" ht="15" hidden="false" customHeight="true" outlineLevel="0" collapsed="false">
      <c r="A8" s="6" t="s">
        <v>478</v>
      </c>
      <c r="B8" s="6" t="s">
        <v>472</v>
      </c>
      <c r="C8" s="62" t="s">
        <v>95</v>
      </c>
      <c r="D8" s="63" t="s">
        <v>446</v>
      </c>
      <c r="E8" s="63" t="s">
        <v>368</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479</v>
      </c>
    </row>
    <row r="9" customFormat="false" ht="15" hidden="false" customHeight="true" outlineLevel="0" collapsed="false">
      <c r="A9" s="6" t="s">
        <v>480</v>
      </c>
      <c r="B9" s="6" t="s">
        <v>472</v>
      </c>
      <c r="C9" s="62" t="s">
        <v>95</v>
      </c>
      <c r="D9" s="63" t="s">
        <v>446</v>
      </c>
      <c r="E9" s="63" t="s">
        <v>368</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481</v>
      </c>
    </row>
    <row r="10" customFormat="false" ht="26.25" hidden="false" customHeight="true" outlineLevel="0" collapsed="false">
      <c r="A10" s="6" t="s">
        <v>482</v>
      </c>
      <c r="B10" s="6" t="s">
        <v>472</v>
      </c>
      <c r="C10" s="62" t="s">
        <v>95</v>
      </c>
      <c r="D10" s="63" t="s">
        <v>446</v>
      </c>
      <c r="E10" s="63" t="s">
        <v>368</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483</v>
      </c>
    </row>
    <row r="11" customFormat="false" ht="15" hidden="false" customHeight="true" outlineLevel="0" collapsed="false">
      <c r="A11" s="6" t="s">
        <v>484</v>
      </c>
      <c r="B11" s="6" t="s">
        <v>472</v>
      </c>
      <c r="C11" s="62" t="s">
        <v>95</v>
      </c>
      <c r="D11" s="63" t="s">
        <v>446</v>
      </c>
      <c r="E11" s="63" t="s">
        <v>368</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485</v>
      </c>
    </row>
    <row r="12" customFormat="false" ht="15" hidden="false" customHeight="true" outlineLevel="0" collapsed="false">
      <c r="A12" s="6" t="s">
        <v>486</v>
      </c>
      <c r="B12" s="6" t="s">
        <v>472</v>
      </c>
      <c r="C12" s="62" t="s">
        <v>95</v>
      </c>
      <c r="D12" s="63" t="s">
        <v>446</v>
      </c>
      <c r="E12" s="63" t="s">
        <v>368</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487</v>
      </c>
    </row>
    <row r="13" customFormat="false" ht="15" hidden="false" customHeight="true" outlineLevel="0" collapsed="false">
      <c r="A13" s="6" t="s">
        <v>488</v>
      </c>
      <c r="B13" s="6" t="s">
        <v>489</v>
      </c>
      <c r="C13" s="62" t="s">
        <v>95</v>
      </c>
      <c r="D13" s="63" t="s">
        <v>446</v>
      </c>
      <c r="E13" s="63" t="s">
        <v>368</v>
      </c>
      <c r="F13" s="64" t="n">
        <v>0</v>
      </c>
      <c r="G13" s="64" t="n">
        <v>0</v>
      </c>
      <c r="H13" s="64" t="n">
        <v>0</v>
      </c>
      <c r="I13" s="37" t="n">
        <f aca="false">F13*IF($D13="USD",Assumptions!$B$6*(1+Assumptions!$B$8),1)/IF($E13="year",12,1)</f>
        <v>0</v>
      </c>
      <c r="J13" s="37" t="n">
        <f aca="false">G13*IF($D13="USD",Assumptions!$B$6*(1+Assumptions!$B$8),1)/IF($E13="year",12,1)</f>
        <v>0</v>
      </c>
      <c r="K13" s="37" t="n">
        <f aca="false">H13*IF($D13="USD",Assumptions!$B$6*(1+Assumptions!$B$8),1)/IF($E13="year",12,1)</f>
        <v>0</v>
      </c>
      <c r="L13" s="22" t="s">
        <v>490</v>
      </c>
    </row>
    <row r="14" customFormat="false" ht="26.25" hidden="false" customHeight="true" outlineLevel="0" collapsed="false">
      <c r="A14" s="6" t="s">
        <v>491</v>
      </c>
      <c r="B14" s="6" t="s">
        <v>489</v>
      </c>
      <c r="C14" s="62" t="s">
        <v>432</v>
      </c>
      <c r="D14" s="63" t="s">
        <v>446</v>
      </c>
      <c r="E14" s="63" t="s">
        <v>368</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492</v>
      </c>
    </row>
    <row r="15" customFormat="false" ht="15" hidden="false" customHeight="true" outlineLevel="0" collapsed="false">
      <c r="A15" s="6" t="s">
        <v>493</v>
      </c>
      <c r="B15" s="6" t="s">
        <v>494</v>
      </c>
      <c r="C15" s="62" t="s">
        <v>95</v>
      </c>
      <c r="D15" s="63" t="s">
        <v>446</v>
      </c>
      <c r="E15" s="63" t="s">
        <v>495</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496</v>
      </c>
    </row>
    <row r="16" customFormat="false" ht="15" hidden="false" customHeight="true" outlineLevel="0" collapsed="false">
      <c r="A16" s="6" t="s">
        <v>497</v>
      </c>
      <c r="B16" s="6" t="s">
        <v>494</v>
      </c>
      <c r="C16" s="62" t="s">
        <v>95</v>
      </c>
      <c r="D16" s="63" t="s">
        <v>423</v>
      </c>
      <c r="E16" s="63" t="s">
        <v>368</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498</v>
      </c>
    </row>
    <row r="17" customFormat="false" ht="15" hidden="false" customHeight="true" outlineLevel="0" collapsed="false">
      <c r="A17" s="6" t="s">
        <v>499</v>
      </c>
      <c r="B17" s="6" t="s">
        <v>500</v>
      </c>
      <c r="C17" s="62" t="s">
        <v>95</v>
      </c>
      <c r="D17" s="63" t="s">
        <v>446</v>
      </c>
      <c r="E17" s="63" t="s">
        <v>495</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501</v>
      </c>
    </row>
    <row r="18" customFormat="false" ht="26.25" hidden="false" customHeight="true" outlineLevel="0" collapsed="false">
      <c r="A18" s="6" t="s">
        <v>502</v>
      </c>
      <c r="B18" s="6" t="s">
        <v>503</v>
      </c>
      <c r="C18" s="62" t="s">
        <v>95</v>
      </c>
      <c r="D18" s="63" t="s">
        <v>423</v>
      </c>
      <c r="E18" s="63" t="s">
        <v>368</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504</v>
      </c>
    </row>
    <row r="19" customFormat="false" ht="15" hidden="false" customHeight="true" outlineLevel="0" collapsed="false">
      <c r="A19" s="6" t="s">
        <v>505</v>
      </c>
      <c r="B19" s="6" t="s">
        <v>503</v>
      </c>
      <c r="C19" s="62" t="s">
        <v>95</v>
      </c>
      <c r="D19" s="63" t="s">
        <v>423</v>
      </c>
      <c r="E19" s="63" t="s">
        <v>368</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506</v>
      </c>
    </row>
    <row r="20" customFormat="false" ht="15" hidden="false" customHeight="true" outlineLevel="0" collapsed="false">
      <c r="A20" s="6" t="s">
        <v>507</v>
      </c>
      <c r="B20" s="6" t="s">
        <v>503</v>
      </c>
      <c r="C20" s="62" t="s">
        <v>432</v>
      </c>
      <c r="D20" s="63" t="s">
        <v>423</v>
      </c>
      <c r="E20" s="63" t="s">
        <v>368</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508</v>
      </c>
    </row>
    <row r="21" customFormat="false" ht="15" hidden="false" customHeight="true" outlineLevel="0" collapsed="false">
      <c r="A21" s="6" t="s">
        <v>509</v>
      </c>
      <c r="B21" s="6" t="s">
        <v>503</v>
      </c>
      <c r="C21" s="62" t="s">
        <v>95</v>
      </c>
      <c r="D21" s="63" t="s">
        <v>446</v>
      </c>
      <c r="E21" s="63" t="s">
        <v>368</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510</v>
      </c>
    </row>
    <row r="22" customFormat="false" ht="15" hidden="false" customHeight="true" outlineLevel="0" collapsed="false">
      <c r="A22" s="6" t="s">
        <v>511</v>
      </c>
      <c r="B22" s="6" t="s">
        <v>458</v>
      </c>
      <c r="C22" s="62" t="s">
        <v>432</v>
      </c>
      <c r="D22" s="63" t="s">
        <v>423</v>
      </c>
      <c r="E22" s="63" t="s">
        <v>368</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512</v>
      </c>
    </row>
    <row r="24" customFormat="false" ht="15" hidden="false" customHeight="true" outlineLevel="0" collapsed="false">
      <c r="A24" s="8" t="s">
        <v>513</v>
      </c>
      <c r="I24" s="65" t="n">
        <f aca="false">SUMIFS(I5:I22,$C$5:$C$22,"Y")</f>
        <v>230.60125</v>
      </c>
      <c r="J24" s="65" t="n">
        <f aca="false">SUMIFS(J5:J22,$C$5:$C$22,"Y")</f>
        <v>350.11845</v>
      </c>
      <c r="K24" s="65" t="n">
        <f aca="false">SUMIFS(K5:K22,$C$5:$C$22,"Y")</f>
        <v>726.1707</v>
      </c>
    </row>
    <row r="25" customFormat="false" ht="15" hidden="false" customHeight="true" outlineLevel="0" collapsed="false">
      <c r="A25" s="8" t="s">
        <v>514</v>
      </c>
      <c r="I25" s="65" t="n">
        <f aca="false">I24*12</f>
        <v>2767.215</v>
      </c>
      <c r="J25" s="65" t="n">
        <f aca="false">J24*12</f>
        <v>4201.4214</v>
      </c>
      <c r="K25" s="65" t="n">
        <f aca="false">K24*12</f>
        <v>8714.0484</v>
      </c>
    </row>
    <row r="26" customFormat="false" ht="15" hidden="false" customHeight="true" outlineLevel="0" collapsed="false">
      <c r="A26" s="8" t="s">
        <v>515</v>
      </c>
      <c r="I26" s="65" t="n">
        <f aca="false">SUM(I5:I22)</f>
        <v>234.24335</v>
      </c>
      <c r="J26" s="65" t="n">
        <f aca="false">SUM(J5:J22)</f>
        <v>582.40265</v>
      </c>
      <c r="K26" s="65" t="n">
        <f aca="false">SUM(K5:K22)</f>
        <v>1780.7391</v>
      </c>
    </row>
    <row r="28" customFormat="false" ht="15" hidden="false" customHeight="true" outlineLevel="0" collapsed="false">
      <c r="A28" s="32" t="s">
        <v>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517</v>
      </c>
    </row>
    <row r="2" customFormat="false" ht="15" hidden="false" customHeight="true" outlineLevel="0" collapsed="false">
      <c r="A2" s="3" t="s">
        <v>518</v>
      </c>
    </row>
    <row r="4" customFormat="false" ht="57.75" hidden="false" customHeight="true" outlineLevel="0" collapsed="false">
      <c r="A4" s="20" t="s">
        <v>180</v>
      </c>
      <c r="B4" s="20" t="s">
        <v>181</v>
      </c>
      <c r="C4" s="20" t="s">
        <v>519</v>
      </c>
      <c r="D4" s="20" t="s">
        <v>520</v>
      </c>
      <c r="E4" s="20" t="s">
        <v>521</v>
      </c>
      <c r="F4" s="20" t="s">
        <v>522</v>
      </c>
      <c r="G4" s="20" t="s">
        <v>523</v>
      </c>
      <c r="H4" s="20" t="s">
        <v>524</v>
      </c>
      <c r="I4" s="20" t="s">
        <v>525</v>
      </c>
      <c r="J4" s="20" t="s">
        <v>526</v>
      </c>
      <c r="K4" s="20" t="s">
        <v>527</v>
      </c>
      <c r="L4" s="20" t="s">
        <v>528</v>
      </c>
      <c r="M4" s="20" t="s">
        <v>529</v>
      </c>
      <c r="N4" s="20" t="s">
        <v>530</v>
      </c>
      <c r="O4" s="20" t="s">
        <v>531</v>
      </c>
      <c r="P4" s="20" t="s">
        <v>532</v>
      </c>
      <c r="Q4" s="20" t="s">
        <v>533</v>
      </c>
      <c r="R4" s="20" t="s">
        <v>534</v>
      </c>
      <c r="S4" s="20" t="s">
        <v>535</v>
      </c>
    </row>
    <row r="5" customFormat="false" ht="15" hidden="false" customHeight="true" outlineLevel="0" collapsed="false">
      <c r="A5" s="6" t="s">
        <v>188</v>
      </c>
      <c r="B5" s="6" t="s">
        <v>189</v>
      </c>
      <c r="C5" s="7" t="n">
        <f aca="false">Assumptions!$B$10*Pricing!$D$39*(1-Assumptions!$B$53*Assumptions!$B$52)</f>
        <v>4.27455875</v>
      </c>
      <c r="D5" s="63" t="n">
        <v>1</v>
      </c>
      <c r="E5" s="67" t="n">
        <f aca="false">1/D5</f>
        <v>1</v>
      </c>
      <c r="F5" s="37" t="n">
        <f aca="false">C5/D5</f>
        <v>4.27455875</v>
      </c>
      <c r="G5" s="37" t="n">
        <f aca="false">F5-H5</f>
        <v>0.741865568181818</v>
      </c>
      <c r="H5" s="37" t="n">
        <f aca="false">F5/(1+Assumptions!$B$7)</f>
        <v>3.53269318181818</v>
      </c>
      <c r="I5" s="37" t="n">
        <f aca="false">H5*Assumptions!$B$21</f>
        <v>0.529903977272727</v>
      </c>
      <c r="J5" s="37" t="n">
        <f aca="false">F5*(Assumptions!$B$22+Assumptions!$B$24)+Assumptions!$B$23*E5</f>
        <v>0.3440402925</v>
      </c>
      <c r="K5" s="37" t="n">
        <f aca="false">Assumptions!$B$19*I5+(1-Assumptions!$B$19)*J5</f>
        <v>0.455558503363636</v>
      </c>
      <c r="L5" s="37" t="n">
        <f aca="false">H5-K5</f>
        <v>3.07713467845455</v>
      </c>
      <c r="M5" s="37" t="n">
        <f aca="false">Assumptions!$B$31*Assumptions!$B$6*(1+Assumptions!$B$8)</f>
        <v>0.15609</v>
      </c>
      <c r="N5" s="37" t="n">
        <f aca="false">Assumptions!$B$36</f>
        <v>0.02</v>
      </c>
      <c r="O5" s="37" t="n">
        <f aca="false">L5-M5-N5</f>
        <v>2.90104467845455</v>
      </c>
      <c r="P5" s="18" t="n">
        <f aca="false">IF(F5=0,0,O5/F5)</f>
        <v>0.678676992907056</v>
      </c>
      <c r="Q5" s="37" t="n">
        <f aca="false">Assumptions!$B$32*Assumptions!$B$6*(1+Assumptions!$B$8)</f>
        <v>2.400149103</v>
      </c>
      <c r="R5" s="37" t="n">
        <f aca="false">L5-Q5-N5</f>
        <v>0.656985575454545</v>
      </c>
    </row>
    <row r="6" customFormat="false" ht="15" hidden="false" customHeight="true" outlineLevel="0" collapsed="false">
      <c r="A6" s="6" t="s">
        <v>188</v>
      </c>
      <c r="B6" s="6" t="s">
        <v>190</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0.15609</v>
      </c>
      <c r="N6" s="37" t="n">
        <f aca="false">Assumptions!$B$36</f>
        <v>0.02</v>
      </c>
      <c r="O6" s="37" t="n">
        <f aca="false">L6-M6-N6-$C$35</f>
        <v>2.46282819290152</v>
      </c>
      <c r="P6" s="18" t="n">
        <f aca="false">IF(F6=0,0,O6/F6)</f>
        <v>0.690146803674307</v>
      </c>
      <c r="Q6" s="37" t="n">
        <f aca="false">Assumptions!$B$32*Assumptions!$B$6*(1+Assumptions!$B$8)</f>
        <v>2.400149103</v>
      </c>
      <c r="R6" s="37" t="n">
        <f aca="false">L6-Q6-N6-$C$35</f>
        <v>0.218769089901515</v>
      </c>
      <c r="S6" s="18" t="n">
        <f aca="false">1-C6/(12*C5)</f>
        <v>0.165163660654643</v>
      </c>
    </row>
    <row r="7" customFormat="false" ht="15" hidden="false" customHeight="true" outlineLevel="0" collapsed="false">
      <c r="A7" s="6" t="s">
        <v>191</v>
      </c>
      <c r="B7" s="6" t="s">
        <v>189</v>
      </c>
      <c r="C7" s="7" t="n">
        <f aca="false">Assumptions!$B$12*Pricing!$E$39*(1-Assumptions!$B$53*Assumptions!$B$52)</f>
        <v>6.84443375</v>
      </c>
      <c r="D7" s="63" t="n">
        <v>1</v>
      </c>
      <c r="E7" s="67" t="n">
        <f aca="false">1/D7</f>
        <v>1</v>
      </c>
      <c r="F7" s="37" t="n">
        <f aca="false">C7/D7</f>
        <v>6.84443375</v>
      </c>
      <c r="G7" s="37" t="n">
        <f aca="false">F7-H7</f>
        <v>1.18787693181818</v>
      </c>
      <c r="H7" s="37" t="n">
        <f aca="false">F7/(1+Assumptions!$B$7)</f>
        <v>5.65655681818182</v>
      </c>
      <c r="I7" s="37" t="n">
        <f aca="false">H7*Assumptions!$B$21</f>
        <v>0.848483522727273</v>
      </c>
      <c r="J7" s="37" t="n">
        <f aca="false">F7*(Assumptions!$B$22+Assumptions!$B$24)+Assumptions!$B$23*E7</f>
        <v>0.4005775425</v>
      </c>
      <c r="K7" s="37" t="n">
        <f aca="false">Assumptions!$B$19*I7+(1-Assumptions!$B$19)*J7</f>
        <v>0.669321130636363</v>
      </c>
      <c r="L7" s="37" t="n">
        <f aca="false">H7-K7</f>
        <v>4.98723568754545</v>
      </c>
      <c r="M7" s="37" t="n">
        <f aca="false">Assumptions!$B$33*Assumptions!$B$6*(1+Assumptions!$B$8)</f>
        <v>0.26015</v>
      </c>
      <c r="N7" s="37" t="n">
        <f aca="false">Assumptions!$B$36</f>
        <v>0.02</v>
      </c>
      <c r="O7" s="37" t="n">
        <f aca="false">L7-M7-N7</f>
        <v>4.70708568754545</v>
      </c>
      <c r="P7" s="18" t="n">
        <f aca="false">IF(F7=0,0,O7/F7)</f>
        <v>0.687724632815016</v>
      </c>
      <c r="Q7" s="37" t="n">
        <f aca="false">Assumptions!$B$34*Assumptions!$B$6*(1+Assumptions!$B$8)</f>
        <v>3.1218</v>
      </c>
      <c r="R7" s="37" t="n">
        <f aca="false">L7-Q7-N7</f>
        <v>1.84543568754545</v>
      </c>
    </row>
    <row r="8" customFormat="false" ht="15" hidden="false" customHeight="true" outlineLevel="0" collapsed="false">
      <c r="A8" s="6" t="s">
        <v>191</v>
      </c>
      <c r="B8" s="6" t="s">
        <v>190</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0.26015</v>
      </c>
      <c r="N8" s="37" t="n">
        <f aca="false">Assumptions!$B$36</f>
        <v>0.02</v>
      </c>
      <c r="O8" s="37" t="n">
        <f aca="false">L8-M8-N8-$C$36</f>
        <v>3.41690033684091</v>
      </c>
      <c r="P8" s="18" t="n">
        <f aca="false">IF(F8=0,0,O8/F8)</f>
        <v>0.683890891120668</v>
      </c>
      <c r="Q8" s="37" t="n">
        <f aca="false">Assumptions!$B$34*Assumptions!$B$6*(1+Assumptions!$B$8)</f>
        <v>3.1218</v>
      </c>
      <c r="R8" s="37" t="n">
        <f aca="false">L8-Q8-N8-$C$36</f>
        <v>0.555250336840909</v>
      </c>
      <c r="S8" s="18" t="n">
        <f aca="false">1-C8/(12*C7)</f>
        <v>0.270025031289112</v>
      </c>
    </row>
    <row r="10" customFormat="false" ht="15" hidden="false" customHeight="true" outlineLevel="0" collapsed="false">
      <c r="A10" s="8" t="s">
        <v>536</v>
      </c>
    </row>
    <row r="11" customFormat="false" ht="15" hidden="false" customHeight="true" outlineLevel="0" collapsed="false">
      <c r="A11" s="8" t="s">
        <v>188</v>
      </c>
      <c r="B11" s="8" t="s">
        <v>537</v>
      </c>
      <c r="F11" s="45" t="n">
        <f aca="false">(1-Assumptions!$B$17)*F5+Assumptions!$B$17*F6</f>
        <v>3.78035751041667</v>
      </c>
      <c r="G11" s="45" t="n">
        <f aca="false">(1-Assumptions!$B$17)*G5+Assumptions!$B$17*G6</f>
        <v>0.656095105113636</v>
      </c>
      <c r="H11" s="45" t="n">
        <f aca="false">(1-Assumptions!$B$17)*H5+Assumptions!$B$17*H6</f>
        <v>3.12426240530303</v>
      </c>
      <c r="K11" s="45" t="n">
        <f aca="false">(1-Assumptions!$B$17)*K5+Assumptions!$B$17*K6</f>
        <v>0.350284095902273</v>
      </c>
      <c r="L11" s="45" t="n">
        <f aca="false">(1-Assumptions!$B$17)*L5+Assumptions!$B$17*L6</f>
        <v>2.77397830940076</v>
      </c>
      <c r="M11" s="45" t="n">
        <f aca="false">(1-Assumptions!$B$17)*M5+Assumptions!$B$17*M6</f>
        <v>0.15609</v>
      </c>
      <c r="N11" s="45" t="n">
        <f aca="false">(1-Assumptions!$B$17)*N5+Assumptions!$B$17*N6</f>
        <v>0.02</v>
      </c>
      <c r="O11" s="45" t="n">
        <f aca="false">(1-Assumptions!$B$17)*O5+Assumptions!$B$17*O6</f>
        <v>2.59429313856742</v>
      </c>
      <c r="P11" s="42" t="n">
        <f aca="false">IF(F11=0,0,O11/F11)</f>
        <v>0.686256030393666</v>
      </c>
      <c r="Q11" s="45" t="n">
        <f aca="false">(1-Assumptions!$B$17)*Q5+Assumptions!$B$17*Q6</f>
        <v>2.400149103</v>
      </c>
      <c r="R11" s="45" t="n">
        <f aca="false">(1-Assumptions!$B$17)*R5+Assumptions!$B$17*R6</f>
        <v>0.350234035567424</v>
      </c>
    </row>
    <row r="12" customFormat="false" ht="15" hidden="false" customHeight="true" outlineLevel="0" collapsed="false">
      <c r="A12" s="8" t="s">
        <v>191</v>
      </c>
      <c r="B12" s="8" t="s">
        <v>537</v>
      </c>
      <c r="F12" s="45" t="n">
        <f aca="false">(1-Assumptions!$B$18)*F7+Assumptions!$B$18*F8</f>
        <v>6.012757953125</v>
      </c>
      <c r="G12" s="45" t="n">
        <f aca="false">(1-Assumptions!$B$18)*G7+Assumptions!$B$18*G8</f>
        <v>1.04353650426136</v>
      </c>
      <c r="H12" s="45" t="n">
        <f aca="false">(1-Assumptions!$B$18)*H7+Assumptions!$B$18*H8</f>
        <v>4.96922144886364</v>
      </c>
      <c r="K12" s="45" t="n">
        <f aca="false">(1-Assumptions!$B$18)*K7+Assumptions!$B$18*K8</f>
        <v>0.558892200385227</v>
      </c>
      <c r="L12" s="45" t="n">
        <f aca="false">(1-Assumptions!$B$18)*L7+Assumptions!$B$18*L8</f>
        <v>4.41032924847841</v>
      </c>
      <c r="M12" s="45" t="n">
        <f aca="false">(1-Assumptions!$B$18)*M7+Assumptions!$B$18*M8</f>
        <v>0.26015</v>
      </c>
      <c r="N12" s="45" t="n">
        <f aca="false">(1-Assumptions!$B$18)*N7+Assumptions!$B$18*N8</f>
        <v>0.02</v>
      </c>
      <c r="O12" s="45" t="n">
        <f aca="false">(1-Assumptions!$B$18)*O7+Assumptions!$B$18*O8</f>
        <v>4.12650227972841</v>
      </c>
      <c r="P12" s="42" t="n">
        <f aca="false">IF(F12=0,0,O12/F12)</f>
        <v>0.686291101670532</v>
      </c>
      <c r="Q12" s="45" t="n">
        <f aca="false">(1-Assumptions!$B$18)*Q7+Assumptions!$B$18*Q8</f>
        <v>3.1218</v>
      </c>
      <c r="R12" s="45" t="n">
        <f aca="false">(1-Assumptions!$B$18)*R7+Assumptions!$B$18*R8</f>
        <v>1.26485227972841</v>
      </c>
    </row>
    <row r="13" customFormat="false" ht="15" hidden="false" customHeight="true" outlineLevel="0" collapsed="false">
      <c r="A13" s="8" t="s">
        <v>538</v>
      </c>
      <c r="B13" s="8" t="s">
        <v>537</v>
      </c>
      <c r="F13" s="45" t="n">
        <f aca="false">IF((Assumptions!$B$15+Assumptions!$B$16)=0,0,Assumptions!$B$15/(Assumptions!$B$15+Assumptions!$B$16)*F11+(1-Assumptions!$B$15/(Assumptions!$B$15+Assumptions!$B$16))*F12)</f>
        <v>4.1862485</v>
      </c>
      <c r="G13" s="45" t="n">
        <f aca="false">IF((Assumptions!$B$15+Assumptions!$B$16)=0,0,Assumptions!$B$15/(Assumptions!$B$15+Assumptions!$B$16)*G11+(1-Assumptions!$B$15/(Assumptions!$B$15+Assumptions!$B$16))*G12)</f>
        <v>0.726538995867769</v>
      </c>
      <c r="H13" s="45" t="n">
        <f aca="false">IF((Assumptions!$B$15+Assumptions!$B$16)=0,0,Assumptions!$B$15/(Assumptions!$B$15+Assumptions!$B$16)*H11+(1-Assumptions!$B$15/(Assumptions!$B$15+Assumptions!$B$16))*H12)</f>
        <v>3.45970950413223</v>
      </c>
      <c r="K13" s="45" t="n">
        <f aca="false">IF((Assumptions!$B$15+Assumptions!$B$16)=0,0,Assumptions!$B$15/(Assumptions!$B$15+Assumptions!$B$16)*K11+(1-Assumptions!$B$15/(Assumptions!$B$15+Assumptions!$B$16))*K12)</f>
        <v>0.388212842171901</v>
      </c>
      <c r="L13" s="45" t="n">
        <f aca="false">IF((Assumptions!$B$15+Assumptions!$B$16)=0,0,Assumptions!$B$15/(Assumptions!$B$15+Assumptions!$B$16)*L11+(1-Assumptions!$B$15/(Assumptions!$B$15+Assumptions!$B$16))*L12)</f>
        <v>3.07149666196033</v>
      </c>
      <c r="M13" s="45" t="n">
        <f aca="false">IF((Assumptions!$B$15+Assumptions!$B$16)=0,0,Assumptions!$B$15/(Assumptions!$B$15+Assumptions!$B$16)*M11+(1-Assumptions!$B$15/(Assumptions!$B$15+Assumptions!$B$16))*M12)</f>
        <v>0.17501</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2.87287661877851</v>
      </c>
      <c r="P13" s="42" t="n">
        <f aca="false">IF(F13=0,0,O13/F13)</f>
        <v>0.686265189173197</v>
      </c>
      <c r="Q13" s="45" t="n">
        <f aca="false">IF((Assumptions!$B$15+Assumptions!$B$16)=0,0,Assumptions!$B$15/(Assumptions!$B$15+Assumptions!$B$16)*Q11+(1-Assumptions!$B$15/(Assumptions!$B$15+Assumptions!$B$16))*Q12)</f>
        <v>2.531358357</v>
      </c>
      <c r="R13" s="45" t="n">
        <f aca="false">IF((Assumptions!$B$15+Assumptions!$B$16)=0,0,Assumptions!$B$15/(Assumptions!$B$15+Assumptions!$B$16)*R11+(1-Assumptions!$B$15/(Assumptions!$B$15+Assumptions!$B$16))*R12)</f>
        <v>0.516528261778512</v>
      </c>
    </row>
    <row r="15" customFormat="false" ht="15" hidden="false" customHeight="true" outlineLevel="0" collapsed="false">
      <c r="A15" s="4" t="s">
        <v>539</v>
      </c>
      <c r="B15" s="5"/>
      <c r="C15" s="5"/>
      <c r="D15" s="5"/>
      <c r="E15" s="5"/>
      <c r="F15" s="5"/>
      <c r="G15" s="5"/>
    </row>
    <row r="16" customFormat="false" ht="26.25" hidden="false" customHeight="true" outlineLevel="0" collapsed="false">
      <c r="A16" s="20" t="s">
        <v>540</v>
      </c>
      <c r="B16" s="20"/>
      <c r="C16" s="20" t="s">
        <v>541</v>
      </c>
      <c r="D16" s="20" t="s">
        <v>523</v>
      </c>
      <c r="E16" s="20" t="s">
        <v>542</v>
      </c>
      <c r="F16" s="20" t="s">
        <v>543</v>
      </c>
      <c r="G16" s="20" t="s">
        <v>544</v>
      </c>
    </row>
    <row r="17" customFormat="false" ht="15" hidden="false" customHeight="true" outlineLevel="0" collapsed="false">
      <c r="A17" s="6" t="s">
        <v>545</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546</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547</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548</v>
      </c>
      <c r="B21" s="5"/>
      <c r="C21" s="5"/>
      <c r="D21" s="5"/>
      <c r="E21" s="5"/>
      <c r="F21" s="5"/>
      <c r="G21" s="5"/>
    </row>
    <row r="22" customFormat="false" ht="26.25" hidden="false" customHeight="true" outlineLevel="0" collapsed="false">
      <c r="A22" s="20" t="s">
        <v>549</v>
      </c>
      <c r="B22" s="20"/>
      <c r="C22" s="20" t="s">
        <v>550</v>
      </c>
      <c r="D22" s="20" t="s">
        <v>20</v>
      </c>
      <c r="E22" s="20" t="s">
        <v>551</v>
      </c>
      <c r="F22" s="20" t="s">
        <v>552</v>
      </c>
      <c r="G22" s="20"/>
    </row>
    <row r="23" customFormat="false" ht="15" hidden="false" customHeight="true" outlineLevel="0" collapsed="false">
      <c r="A23" s="6" t="s">
        <v>465</v>
      </c>
      <c r="C23" s="7" t="n">
        <f aca="false">'Fixed costs'!$I$24</f>
        <v>230.60125</v>
      </c>
      <c r="D23" s="19" t="n">
        <f aca="false">IF(ISNUMBER(E23),ROUNDUP(E23*(Assumptions!$B$15+Assumptions!$B$16),0),"never")</f>
        <v>74</v>
      </c>
      <c r="E23" s="19" t="n">
        <f aca="false">IF(F23&lt;=0,"never",ROUNDUP(C23/F23,0))</f>
        <v>1333</v>
      </c>
      <c r="F23" s="37" t="n">
        <f aca="false">(Assumptions!$B$15*$O$11+Assumptions!$B$16*$O$12)+(1-Assumptions!$B$15-Assumptions!$B$16)*(Assumptions!$B$54*Assumptions!$B$56*'Credit shop'!$G$22-$C$29)+Assumptions!$B$15*Assumptions!$B$55*Assumptions!$B$56*'Credit shop'!$G$22</f>
        <v>0.173119826770669</v>
      </c>
    </row>
    <row r="24" customFormat="false" ht="15" hidden="false" customHeight="true" outlineLevel="0" collapsed="false">
      <c r="A24" s="6" t="s">
        <v>466</v>
      </c>
      <c r="C24" s="7" t="n">
        <f aca="false">'Fixed costs'!$J$24</f>
        <v>350.11845</v>
      </c>
      <c r="D24" s="19" t="n">
        <f aca="false">IF(ISNUMBER(E24),ROUNDUP(E24*(Assumptions!$B$15+Assumptions!$B$16),0),"never")</f>
        <v>112</v>
      </c>
      <c r="E24" s="19" t="n">
        <f aca="false">IF(F24&lt;=0,"never",ROUNDUP(C24/F24,0))</f>
        <v>2023</v>
      </c>
      <c r="F24" s="37" t="n">
        <f aca="false">(Assumptions!$B$15*$O$11+Assumptions!$B$16*$O$12)+(1-Assumptions!$B$15-Assumptions!$B$16)*(Assumptions!$B$54*Assumptions!$B$56*'Credit shop'!$G$22-$C$29)+Assumptions!$B$15*Assumptions!$B$55*Assumptions!$B$56*'Credit shop'!$G$22</f>
        <v>0.173119826770669</v>
      </c>
    </row>
    <row r="25" customFormat="false" ht="15" hidden="false" customHeight="true" outlineLevel="0" collapsed="false">
      <c r="A25" s="6" t="s">
        <v>467</v>
      </c>
      <c r="C25" s="7" t="n">
        <f aca="false">'Fixed costs'!$K$24</f>
        <v>726.1707</v>
      </c>
      <c r="D25" s="19" t="n">
        <f aca="false">IF(ISNUMBER(E25),ROUNDUP(E25*(Assumptions!$B$15+Assumptions!$B$16),0),"never")</f>
        <v>231</v>
      </c>
      <c r="E25" s="19" t="n">
        <f aca="false">IF(F25&lt;=0,"never",ROUNDUP(C25/F25,0))</f>
        <v>4195</v>
      </c>
      <c r="F25" s="37" t="n">
        <f aca="false">(Assumptions!$B$15*$O$11+Assumptions!$B$16*$O$12)+(1-Assumptions!$B$15-Assumptions!$B$16)*(Assumptions!$B$54*Assumptions!$B$56*'Credit shop'!$G$22-$C$29)+Assumptions!$B$15*Assumptions!$B$55*Assumptions!$B$56*'Credit shop'!$G$22</f>
        <v>0.173119826770669</v>
      </c>
    </row>
    <row r="27" customFormat="false" ht="15" hidden="false" customHeight="true" outlineLevel="0" collapsed="false">
      <c r="A27" s="32" t="s">
        <v>553</v>
      </c>
    </row>
    <row r="29" customFormat="false" ht="15" hidden="false" customHeight="true" outlineLevel="0" collapsed="false">
      <c r="A29" s="8" t="s">
        <v>554</v>
      </c>
      <c r="C29" s="43" t="n">
        <f aca="false">Assumptions!$B$35+C30</f>
        <v>0.020406</v>
      </c>
    </row>
    <row r="30" customFormat="false" ht="15" hidden="false" customHeight="false" outlineLevel="0" collapsed="false">
      <c r="A30" s="6" t="s">
        <v>555</v>
      </c>
      <c r="C30" s="37" t="n">
        <f aca="false">Assumptions!$B$49*Assumptions!$B$6*(1+Assumptions!$B$8)</f>
        <v>0.010406</v>
      </c>
    </row>
    <row r="32" customFormat="false" ht="15" hidden="false" customHeight="false" outlineLevel="0" collapsed="false">
      <c r="A32" s="8" t="s">
        <v>556</v>
      </c>
    </row>
    <row r="33" customFormat="false" ht="15" hidden="false" customHeight="false" outlineLevel="0" collapsed="false">
      <c r="A33" s="6" t="s">
        <v>557</v>
      </c>
      <c r="C33" s="31" t="n">
        <v>7</v>
      </c>
    </row>
    <row r="34" customFormat="false" ht="15" hidden="false" customHeight="false" outlineLevel="0" collapsed="false">
      <c r="A34" s="6" t="s">
        <v>558</v>
      </c>
      <c r="C34" s="37" t="n">
        <f aca="false">C33/30*(M6+N6)</f>
        <v>0.0410876666666667</v>
      </c>
      <c r="D34" s="37" t="n">
        <f aca="false">C33/30*(M8+N8)</f>
        <v>0.0653683333333333</v>
      </c>
    </row>
    <row r="35" customFormat="false" ht="15" hidden="false" customHeight="false" outlineLevel="0" collapsed="false">
      <c r="A35" s="6" t="s">
        <v>559</v>
      </c>
      <c r="C35" s="37" t="n">
        <f aca="false">IF(Assumptions!$B$51=0,0,(1/Assumptions!$B$51-1)*C34/12)</f>
        <v>0.00513595833333333</v>
      </c>
    </row>
    <row r="36" customFormat="false" ht="15" hidden="false" customHeight="false" outlineLevel="0" collapsed="false">
      <c r="A36" s="6" t="s">
        <v>560</v>
      </c>
      <c r="C36" s="37" t="n">
        <f aca="false">IF(Assumptions!$B$51=0,0,(1/Assumptions!$B$51-1)*D34/12)</f>
        <v>0.00817104166666667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561</v>
      </c>
    </row>
    <row r="2" customFormat="false" ht="15" hidden="false" customHeight="true" outlineLevel="0" collapsed="false">
      <c r="A2" s="3" t="s">
        <v>562</v>
      </c>
    </row>
    <row r="4" customFormat="false" ht="15" hidden="false" customHeight="true" outlineLevel="0" collapsed="false">
      <c r="A4" s="20" t="s">
        <v>563</v>
      </c>
      <c r="B4" s="20" t="s">
        <v>564</v>
      </c>
      <c r="C4" s="20" t="s">
        <v>565</v>
      </c>
      <c r="D4" s="20" t="s">
        <v>566</v>
      </c>
      <c r="E4" s="20" t="s">
        <v>567</v>
      </c>
      <c r="F4" s="20" t="s">
        <v>568</v>
      </c>
      <c r="G4" s="20" t="s">
        <v>569</v>
      </c>
      <c r="H4" s="20" t="s">
        <v>570</v>
      </c>
      <c r="I4" s="20" t="s">
        <v>571</v>
      </c>
    </row>
    <row r="5" customFormat="false" ht="15" hidden="false" customHeight="true" outlineLevel="0" collapsed="false">
      <c r="A5" s="6" t="s">
        <v>572</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573</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574</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575</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576</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577</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578</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579</v>
      </c>
      <c r="B12" s="14"/>
      <c r="C12" s="14"/>
      <c r="D12" s="14"/>
      <c r="E12" s="14"/>
      <c r="F12" s="14"/>
      <c r="G12" s="14"/>
      <c r="H12" s="14"/>
      <c r="I12" s="14"/>
    </row>
    <row r="13" customFormat="false" ht="15" hidden="false" customHeight="false" outlineLevel="0" collapsed="false">
      <c r="A13" s="6" t="s">
        <v>580</v>
      </c>
      <c r="B13" s="37" t="n">
        <f aca="false">B8*'Unit economics'!$F$11+B9*'Unit economics'!$F$12</f>
        <v>24.9145455052083</v>
      </c>
      <c r="C13" s="37" t="n">
        <f aca="false">C8*'Unit economics'!$F$11+C9*'Unit economics'!$F$12</f>
        <v>117.012012505208</v>
      </c>
      <c r="D13" s="37" t="n">
        <f aca="false">D8*'Unit economics'!$F$11+D9*'Unit economics'!$F$12</f>
        <v>230.2436675</v>
      </c>
      <c r="E13" s="37" t="n">
        <f aca="false">E8*'Unit economics'!$F$11+E9*'Unit economics'!$F$12</f>
        <v>577.499347505208</v>
      </c>
      <c r="F13" s="37" t="n">
        <f aca="false">F8*'Unit economics'!$F$11+F9*'Unit economics'!$F$12</f>
        <v>1151.2183375</v>
      </c>
      <c r="G13" s="37" t="n">
        <f aca="false">G8*'Unit economics'!$F$11+G9*'Unit economics'!$F$12</f>
        <v>2302.436675</v>
      </c>
      <c r="H13" s="37" t="n">
        <f aca="false">H8*'Unit economics'!$F$11+H9*'Unit economics'!$F$12</f>
        <v>5756.0916875</v>
      </c>
      <c r="I13" s="37" t="n">
        <f aca="false">I8*'Unit economics'!$F$11+I9*'Unit economics'!$F$12</f>
        <v>11512.183375</v>
      </c>
    </row>
    <row r="14" customFormat="false" ht="15" hidden="false" customHeight="false" outlineLevel="0" collapsed="false">
      <c r="A14" s="6" t="s">
        <v>581</v>
      </c>
      <c r="B14" s="37" t="n">
        <f aca="false">-(B8*'Unit economics'!$G$11+B9*'Unit economics'!$G$12)</f>
        <v>-4.32401202982955</v>
      </c>
      <c r="C14" s="37" t="n">
        <f aca="false">-(C8*'Unit economics'!$G$11+C9*'Unit economics'!$G$12)</f>
        <v>-20.3078699389205</v>
      </c>
      <c r="D14" s="37" t="n">
        <f aca="false">-(D8*'Unit economics'!$G$11+D9*'Unit economics'!$G$12)</f>
        <v>-39.9596447727273</v>
      </c>
      <c r="E14" s="37" t="n">
        <f aca="false">-(E8*'Unit economics'!$G$11+E9*'Unit economics'!$G$12)</f>
        <v>-100.227159484375</v>
      </c>
      <c r="F14" s="37" t="n">
        <f aca="false">-(F8*'Unit economics'!$G$11+F9*'Unit economics'!$G$12)</f>
        <v>-199.798223863636</v>
      </c>
      <c r="G14" s="37" t="n">
        <f aca="false">-(G8*'Unit economics'!$G$11+G9*'Unit economics'!$G$12)</f>
        <v>-399.596447727273</v>
      </c>
      <c r="H14" s="37" t="n">
        <f aca="false">-(H8*'Unit economics'!$G$11+H9*'Unit economics'!$G$12)</f>
        <v>-998.991119318182</v>
      </c>
      <c r="I14" s="37" t="n">
        <f aca="false">-(I8*'Unit economics'!$G$11+I9*'Unit economics'!$G$12)</f>
        <v>-1997.98223863636</v>
      </c>
    </row>
    <row r="15" customFormat="false" ht="15" hidden="false" customHeight="false" outlineLevel="0" collapsed="false">
      <c r="A15" s="6" t="s">
        <v>582</v>
      </c>
      <c r="B15" s="37" t="n">
        <f aca="false">B23*(1-Assumptions!$B$19)*(B8*'Unit economics'!$G$11+B9*'Unit economics'!$G$12)</f>
        <v>1.72960481193182</v>
      </c>
      <c r="C15" s="37" t="n">
        <f aca="false">C23*(1-Assumptions!$B$19)*(C8*'Unit economics'!$G$11+C9*'Unit economics'!$G$12)</f>
        <v>8.12314797556818</v>
      </c>
      <c r="D15" s="37" t="n">
        <f aca="false">D23*(1-Assumptions!$B$19)*(D8*'Unit economics'!$G$11+D9*'Unit economics'!$G$12)</f>
        <v>15.9838579090909</v>
      </c>
      <c r="E15" s="37" t="n">
        <f aca="false">E23*(1-Assumptions!$B$19)*(E8*'Unit economics'!$G$11+E9*'Unit economics'!$G$12)</f>
        <v>40.09086379375</v>
      </c>
      <c r="F15" s="37" t="n">
        <f aca="false">F23*(1-Assumptions!$B$19)*(F8*'Unit economics'!$G$11+F9*'Unit economics'!$G$12)</f>
        <v>79.9192895454546</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583</v>
      </c>
      <c r="B16" s="37" t="n">
        <f aca="false">-(B8*'Unit economics'!$K$11+B9*'Unit economics'!$K$12)</f>
        <v>-2.31031267989659</v>
      </c>
      <c r="C16" s="37" t="n">
        <f aca="false">-(C8*'Unit economics'!$K$11+C9*'Unit economics'!$K$12)</f>
        <v>-10.8509952076784</v>
      </c>
      <c r="D16" s="37" t="n">
        <f aca="false">-(D8*'Unit economics'!$K$11+D9*'Unit economics'!$K$12)</f>
        <v>-21.3517063194545</v>
      </c>
      <c r="E16" s="37" t="n">
        <f aca="false">-(E8*'Unit economics'!$K$11+E9*'Unit economics'!$K$12)</f>
        <v>-53.5544078465875</v>
      </c>
      <c r="F16" s="37" t="n">
        <f aca="false">-(F8*'Unit economics'!$K$11+F9*'Unit economics'!$K$12)</f>
        <v>-106.758531597273</v>
      </c>
      <c r="G16" s="37" t="n">
        <f aca="false">-(G8*'Unit economics'!$K$11+G9*'Unit economics'!$K$12)</f>
        <v>-213.517063194545</v>
      </c>
      <c r="H16" s="37" t="n">
        <f aca="false">-(H8*'Unit economics'!$K$11+H9*'Unit economics'!$K$12)</f>
        <v>-533.792657986364</v>
      </c>
      <c r="I16" s="37" t="n">
        <f aca="false">-(I8*'Unit economics'!$K$11+I9*'Unit economics'!$K$12)</f>
        <v>-1067.58531597273</v>
      </c>
    </row>
    <row r="17" customFormat="false" ht="15" hidden="false" customHeight="false" outlineLevel="0" collapsed="false">
      <c r="A17" s="6" t="s">
        <v>584</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585</v>
      </c>
      <c r="B18" s="43" t="n">
        <f aca="false">SUM(B13:B17)</f>
        <v>22.9495933627859</v>
      </c>
      <c r="C18" s="43" t="n">
        <f aca="false">SUM(C13:C17)</f>
        <v>111.614901866409</v>
      </c>
      <c r="D18" s="43" t="n">
        <f aca="false">SUM(D13:D17)</f>
        <v>220.193387381372</v>
      </c>
      <c r="E18" s="43" t="n">
        <f aca="false">SUM(E13:E17)</f>
        <v>549.061908873781</v>
      </c>
      <c r="F18" s="43" t="n">
        <f aca="false">SUM(F13:F17)</f>
        <v>1098.02716915149</v>
      </c>
      <c r="G18" s="43" t="n">
        <f aca="false">SUM(G13:G17)</f>
        <v>2033.27599145669</v>
      </c>
      <c r="H18" s="43" t="n">
        <f aca="false">SUM(H13:H17)</f>
        <v>5084.65986251942</v>
      </c>
      <c r="I18" s="43" t="n">
        <f aca="false">SUM(I13:I17)</f>
        <v>10166.3799572835</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586</v>
      </c>
      <c r="B20" s="14"/>
      <c r="C20" s="14"/>
      <c r="D20" s="14"/>
      <c r="E20" s="14"/>
      <c r="F20" s="14"/>
      <c r="G20" s="14"/>
      <c r="H20" s="14"/>
      <c r="I20" s="14"/>
    </row>
    <row r="21" customFormat="false" ht="15" hidden="false" customHeight="false" outlineLevel="0" collapsed="false">
      <c r="A21" s="6" t="s">
        <v>587</v>
      </c>
      <c r="B21" s="37" t="n">
        <f aca="false">(B13+B14+B11*Assumptions!$B$56*'Credit shop'!$C$21/(1+Assumptions!$B$7))*12</f>
        <v>287.430203357438</v>
      </c>
      <c r="C21" s="37" t="n">
        <f aca="false">(C13+C14+C11*Assumptions!$B$56*'Credit shop'!$C$21/(1+Assumptions!$B$7))*12</f>
        <v>1402.51252071281</v>
      </c>
      <c r="D21" s="37" t="n">
        <f aca="false">(D13+D14+D11*Assumptions!$B$56*'Credit shop'!$C$21/(1+Assumptions!$B$7))*12</f>
        <v>2767.53389256198</v>
      </c>
      <c r="E21" s="37" t="n">
        <f aca="false">(E13+E14+E11*Assumptions!$B$56*'Credit shop'!$C$21/(1+Assumptions!$B$7))*12</f>
        <v>6897.23650418389</v>
      </c>
      <c r="F21" s="37" t="n">
        <f aca="false">(F13+F14+F11*Assumptions!$B$56*'Credit shop'!$C$21/(1+Assumptions!$B$7))*12</f>
        <v>13797.325661157</v>
      </c>
      <c r="G21" s="37" t="n">
        <f aca="false">(G13+G14+G11*Assumptions!$B$56*'Credit shop'!$C$21/(1+Assumptions!$B$7))*12</f>
        <v>27554.3075206612</v>
      </c>
      <c r="H21" s="37" t="n">
        <f aca="false">(H13+H14+H11*Assumptions!$B$56*'Credit shop'!$C$21/(1+Assumptions!$B$7))*12</f>
        <v>68905.9407024793</v>
      </c>
      <c r="I21" s="37" t="n">
        <f aca="false">(I13+I14+I11*Assumptions!$B$56*'Credit shop'!$C$21/(1+Assumptions!$B$7))*12</f>
        <v>137771.537603306</v>
      </c>
    </row>
    <row r="22" customFormat="false" ht="15" hidden="false" customHeight="false" outlineLevel="0" collapsed="false">
      <c r="A22" s="6" t="s">
        <v>588</v>
      </c>
      <c r="B22" s="37" t="n">
        <f aca="false">(B13*(1-Assumptions!$B$19)+B11*Assumptions!$B$56*'Credit shop'!$C$21*(1-Assumptions!$B$58))*Assumptions!$B$29*12</f>
        <v>99.57713474</v>
      </c>
      <c r="C22" s="37" t="n">
        <f aca="false">(C13*(1-Assumptions!$B$19)+C11*Assumptions!$B$56*'Credit shop'!$C$21*(1-Assumptions!$B$58))*Assumptions!$B$29*12</f>
        <v>472.75780802</v>
      </c>
      <c r="D22" s="37" t="n">
        <f aca="false">(D13*(1-Assumptions!$B$19)+D11*Assumptions!$B$56*'Credit shop'!$C$21*(1-Assumptions!$B$58))*Assumptions!$B$29*12</f>
        <v>930.9990432</v>
      </c>
      <c r="E22" s="37" t="n">
        <f aca="false">(E13*(1-Assumptions!$B$19)+E11*Assumptions!$B$56*'Credit shop'!$C$21*(1-Assumptions!$B$58))*Assumptions!$B$29*12</f>
        <v>2330.85061442</v>
      </c>
      <c r="F22" s="37" t="n">
        <f aca="false">(F13*(1-Assumptions!$B$19)+F11*Assumptions!$B$56*'Credit shop'!$C$21*(1-Assumptions!$B$58))*Assumptions!$B$29*12</f>
        <v>4651.089936</v>
      </c>
      <c r="G22" s="37" t="n">
        <f aca="false">(G13*(1-Assumptions!$B$19)+G11*Assumptions!$B$56*'Credit shop'!$C$21*(1-Assumptions!$B$58))*Assumptions!$B$29*12</f>
        <v>9298.274592</v>
      </c>
      <c r="H22" s="37" t="n">
        <f aca="false">(H13*(1-Assumptions!$B$19)+H11*Assumptions!$B$56*'Credit shop'!$C$21*(1-Assumptions!$B$58))*Assumptions!$B$29*12</f>
        <v>23247.63912</v>
      </c>
      <c r="I22" s="37" t="n">
        <f aca="false">(I13*(1-Assumptions!$B$19)+I11*Assumptions!$B$56*'Credit shop'!$C$21*(1-Assumptions!$B$58))*Assumptions!$B$29*12</f>
        <v>46491.37296</v>
      </c>
    </row>
    <row r="23" customFormat="false" ht="15" hidden="false" customHeight="false" outlineLevel="0" collapsed="false">
      <c r="A23" s="6" t="s">
        <v>589</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590</v>
      </c>
      <c r="B25" s="14"/>
      <c r="C25" s="14"/>
      <c r="D25" s="14"/>
      <c r="E25" s="14"/>
      <c r="F25" s="14"/>
      <c r="G25" s="14"/>
      <c r="H25" s="14"/>
      <c r="I25" s="14"/>
    </row>
    <row r="26" customFormat="false" ht="15" hidden="false" customHeight="false" outlineLevel="0" collapsed="false">
      <c r="A26" s="6" t="s">
        <v>591</v>
      </c>
      <c r="B26" s="37" t="n">
        <f aca="false">B8*'Unit economics'!$M$11+B9*'Unit economics'!$M$12+B7*'Unit economics'!$C$30</f>
        <v>2.018764</v>
      </c>
      <c r="C26" s="37" t="n">
        <f aca="false">C8*'Unit economics'!$M$11+C9*'Unit economics'!$M$12+C7*'Unit economics'!$C$30</f>
        <v>9.802452</v>
      </c>
      <c r="D26" s="37" t="n">
        <f aca="false">D8*'Unit economics'!$M$11+D9*'Unit economics'!$M$12+D7*'Unit economics'!$C$30</f>
        <v>19.45922</v>
      </c>
      <c r="E26" s="37" t="n">
        <f aca="false">E8*'Unit economics'!$M$11+E9*'Unit economics'!$M$12+E7*'Unit economics'!$C$30</f>
        <v>48.720892</v>
      </c>
      <c r="F26" s="37" t="n">
        <f aca="false">F8*'Unit economics'!$M$11+F9*'Unit economics'!$M$12+F7*'Unit economics'!$C$30</f>
        <v>97.2961</v>
      </c>
      <c r="G26" s="37" t="n">
        <f aca="false">G8*'Unit economics'!$M$11+G9*'Unit economics'!$M$12+G7*'Unit economics'!$C$30</f>
        <v>194.5922</v>
      </c>
      <c r="H26" s="37" t="n">
        <f aca="false">H8*'Unit economics'!$M$11+H9*'Unit economics'!$M$12+H7*'Unit economics'!$C$30</f>
        <v>486.4805</v>
      </c>
      <c r="I26" s="37" t="n">
        <f aca="false">I8*'Unit economics'!$M$11+I9*'Unit economics'!$M$12+I7*'Unit economics'!$C$30</f>
        <v>972.961</v>
      </c>
    </row>
    <row r="27" customFormat="false" ht="15" hidden="false" customHeight="false" outlineLevel="0" collapsed="false">
      <c r="A27" s="6" t="s">
        <v>592</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593</v>
      </c>
      <c r="B28" s="37" t="n">
        <f aca="false">CHOOSE(B6,'Fixed costs'!$I$24,'Fixed costs'!$J$24,'Fixed costs'!$K$24)</f>
        <v>230.60125</v>
      </c>
      <c r="C28" s="37" t="n">
        <f aca="false">CHOOSE(C6,'Fixed costs'!$I$24,'Fixed costs'!$J$24,'Fixed costs'!$K$24)</f>
        <v>230.60125</v>
      </c>
      <c r="D28" s="37" t="n">
        <f aca="false">CHOOSE(D6,'Fixed costs'!$I$24,'Fixed costs'!$J$24,'Fixed costs'!$K$24)</f>
        <v>230.60125</v>
      </c>
      <c r="E28" s="37" t="n">
        <f aca="false">CHOOSE(E6,'Fixed costs'!$I$24,'Fixed costs'!$J$24,'Fixed costs'!$K$24)</f>
        <v>350.11845</v>
      </c>
      <c r="F28" s="37" t="n">
        <f aca="false">CHOOSE(F6,'Fixed costs'!$I$24,'Fixed costs'!$J$24,'Fixed costs'!$K$24)</f>
        <v>350.11845</v>
      </c>
      <c r="G28" s="37" t="n">
        <f aca="false">CHOOSE(G6,'Fixed costs'!$I$24,'Fixed costs'!$J$24,'Fixed costs'!$K$24)</f>
        <v>350.11845</v>
      </c>
      <c r="H28" s="37" t="n">
        <f aca="false">CHOOSE(H6,'Fixed costs'!$I$24,'Fixed costs'!$J$24,'Fixed costs'!$K$24)</f>
        <v>726.1707</v>
      </c>
      <c r="I28" s="37" t="n">
        <f aca="false">CHOOSE(I6,'Fixed costs'!$I$24,'Fixed costs'!$J$24,'Fixed costs'!$K$24)</f>
        <v>726.1707</v>
      </c>
    </row>
    <row r="29" customFormat="false" ht="15" hidden="false" customHeight="false" outlineLevel="0" collapsed="false">
      <c r="A29" s="8" t="s">
        <v>594</v>
      </c>
      <c r="B29" s="45" t="n">
        <f aca="false">B26+B27+B28</f>
        <v>233.680014</v>
      </c>
      <c r="C29" s="45" t="n">
        <f aca="false">C26+C27+C28</f>
        <v>245.683702</v>
      </c>
      <c r="D29" s="45" t="n">
        <f aca="false">D26+D27+D28</f>
        <v>260.61047</v>
      </c>
      <c r="E29" s="45" t="n">
        <f aca="false">E26+E27+E28</f>
        <v>425.219342</v>
      </c>
      <c r="F29" s="45" t="n">
        <f aca="false">F26+F27+F28</f>
        <v>500.16455</v>
      </c>
      <c r="G29" s="45" t="n">
        <f aca="false">G26+G27+G28</f>
        <v>650.21065</v>
      </c>
      <c r="H29" s="45" t="n">
        <f aca="false">H26+H27+H28</f>
        <v>1476.4012</v>
      </c>
      <c r="I29" s="45" t="n">
        <f aca="false">I26+I27+I28</f>
        <v>2226.6317</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595</v>
      </c>
      <c r="B31" s="14"/>
      <c r="C31" s="14"/>
      <c r="D31" s="14"/>
      <c r="E31" s="14"/>
      <c r="F31" s="14"/>
      <c r="G31" s="14"/>
      <c r="H31" s="14"/>
      <c r="I31" s="14"/>
    </row>
    <row r="32" customFormat="false" ht="15" hidden="false" customHeight="false" outlineLevel="0" collapsed="false">
      <c r="A32" s="8" t="s">
        <v>596</v>
      </c>
      <c r="B32" s="43" t="n">
        <f aca="false">B18-B29</f>
        <v>-210.730420637214</v>
      </c>
      <c r="C32" s="43" t="n">
        <f aca="false">C18-C29</f>
        <v>-134.068800133591</v>
      </c>
      <c r="D32" s="43" t="n">
        <f aca="false">D18-D29</f>
        <v>-40.4170826186281</v>
      </c>
      <c r="E32" s="43" t="n">
        <f aca="false">E18-E29</f>
        <v>123.842566873781</v>
      </c>
      <c r="F32" s="43" t="n">
        <f aca="false">F18-F29</f>
        <v>597.862619151488</v>
      </c>
      <c r="G32" s="43" t="n">
        <f aca="false">G18-G29</f>
        <v>1383.06534145669</v>
      </c>
      <c r="H32" s="43" t="n">
        <f aca="false">H18-H29</f>
        <v>3608.25866251942</v>
      </c>
      <c r="I32" s="43" t="n">
        <f aca="false">I18-I29</f>
        <v>7939.74825728347</v>
      </c>
    </row>
    <row r="33" customFormat="false" ht="15" hidden="false" customHeight="false" outlineLevel="0" collapsed="false">
      <c r="A33" s="6" t="s">
        <v>597</v>
      </c>
      <c r="B33" s="37" t="n">
        <f aca="false">MAX(0,B32)*12</f>
        <v>0</v>
      </c>
      <c r="C33" s="37" t="n">
        <f aca="false">MAX(0,C32)*12</f>
        <v>0</v>
      </c>
      <c r="D33" s="37" t="n">
        <f aca="false">MAX(0,D32)*12</f>
        <v>0</v>
      </c>
      <c r="E33" s="37" t="n">
        <f aca="false">MAX(0,E32)*12</f>
        <v>1486.11080248537</v>
      </c>
      <c r="F33" s="37" t="n">
        <f aca="false">MAX(0,F32)*12</f>
        <v>7174.35142981785</v>
      </c>
      <c r="G33" s="37" t="n">
        <f aca="false">MAX(0,G32)*12</f>
        <v>16596.7840974803</v>
      </c>
      <c r="H33" s="37" t="n">
        <f aca="false">MAX(0,H32)*12</f>
        <v>43299.1039502331</v>
      </c>
      <c r="I33" s="37" t="n">
        <f aca="false">MAX(0,I32)*12</f>
        <v>95276.9790874017</v>
      </c>
    </row>
    <row r="34" customFormat="false" ht="15" hidden="false" customHeight="false" outlineLevel="0" collapsed="false">
      <c r="A34" s="6" t="s">
        <v>598</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135.124794998622</v>
      </c>
      <c r="H34" s="37" t="n">
        <f aca="false">IF(H33&lt;=Assumptions!$B$41,0,IF(H33&lt;Assumptions!$B$42,Assumptions!$B$43*(H33-Assumptions!$B$41),MAX(4*Assumptions!$B$44,Assumptions!$B$43*H33)))/12</f>
        <v>739.693025816482</v>
      </c>
      <c r="I34" s="37" t="n">
        <f aca="false">IF(I33&lt;=Assumptions!$B$41,0,IF(I33&lt;Assumptions!$B$42,Assumptions!$B$43*(I33-Assumptions!$B$41),MAX(4*Assumptions!$B$44,Assumptions!$B$43*I33)))/12</f>
        <v>1627.64839274311</v>
      </c>
    </row>
    <row r="35" customFormat="false" ht="15" hidden="false" customHeight="false" outlineLevel="0" collapsed="false">
      <c r="A35" s="8" t="s">
        <v>599</v>
      </c>
      <c r="B35" s="43" t="n">
        <f aca="false">B32-B34</f>
        <v>-210.730420637214</v>
      </c>
      <c r="C35" s="43" t="n">
        <f aca="false">C32-C34</f>
        <v>-134.068800133591</v>
      </c>
      <c r="D35" s="43" t="n">
        <f aca="false">D32-D34</f>
        <v>-40.4170826186281</v>
      </c>
      <c r="E35" s="43" t="n">
        <f aca="false">E32-E34</f>
        <v>123.842566873781</v>
      </c>
      <c r="F35" s="43" t="n">
        <f aca="false">F32-F34</f>
        <v>597.862619151488</v>
      </c>
      <c r="G35" s="43" t="n">
        <f aca="false">G32-G34</f>
        <v>1247.94054645807</v>
      </c>
      <c r="H35" s="43" t="n">
        <f aca="false">H32-H34</f>
        <v>2868.56563670294</v>
      </c>
      <c r="I35" s="43" t="n">
        <f aca="false">I32-I34</f>
        <v>6312.09986454036</v>
      </c>
    </row>
    <row r="36" customFormat="false" ht="15" hidden="false" customHeight="false" outlineLevel="0" collapsed="false">
      <c r="A36" s="6" t="s">
        <v>600</v>
      </c>
      <c r="B36" s="37" t="n">
        <f aca="false">B35*12</f>
        <v>-2528.76504764657</v>
      </c>
      <c r="C36" s="37" t="n">
        <f aca="false">C35*12</f>
        <v>-1608.82560160309</v>
      </c>
      <c r="D36" s="37" t="n">
        <f aca="false">D35*12</f>
        <v>-485.004991423538</v>
      </c>
      <c r="E36" s="37" t="n">
        <f aca="false">E35*12</f>
        <v>1486.11080248537</v>
      </c>
      <c r="F36" s="37" t="n">
        <f aca="false">F35*12</f>
        <v>7174.35142981785</v>
      </c>
      <c r="G36" s="37" t="n">
        <f aca="false">G35*12</f>
        <v>14975.2865574969</v>
      </c>
      <c r="H36" s="37" t="n">
        <f aca="false">H35*12</f>
        <v>34422.7876404353</v>
      </c>
      <c r="I36" s="37" t="n">
        <f aca="false">I35*12</f>
        <v>75745.1983744843</v>
      </c>
    </row>
    <row r="37" customFormat="false" ht="15" hidden="false" customHeight="false" outlineLevel="0" collapsed="false">
      <c r="A37" s="6" t="s">
        <v>601</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602</v>
      </c>
      <c r="B39" s="14"/>
      <c r="C39" s="14"/>
      <c r="D39" s="14"/>
      <c r="E39" s="14"/>
      <c r="F39" s="14"/>
      <c r="G39" s="14"/>
      <c r="H39" s="14"/>
      <c r="I39" s="14"/>
    </row>
    <row r="40" customFormat="false" ht="15" hidden="false" customHeight="false" outlineLevel="0" collapsed="false">
      <c r="A40" s="6" t="s">
        <v>603</v>
      </c>
      <c r="B40" s="37" t="n">
        <f aca="false">IF(B5=0,0,B29/B5)</f>
        <v>2.33680014</v>
      </c>
      <c r="C40" s="37" t="n">
        <f aca="false">IF(C5=0,0,C29/C5)</f>
        <v>0.491367404</v>
      </c>
      <c r="D40" s="37" t="n">
        <f aca="false">IF(D5=0,0,D29/D5)</f>
        <v>0.26061047</v>
      </c>
      <c r="E40" s="37" t="n">
        <f aca="false">IF(E5=0,0,E29/E5)</f>
        <v>0.1700877368</v>
      </c>
      <c r="F40" s="37" t="n">
        <f aca="false">IF(F5=0,0,F29/F5)</f>
        <v>0.10003291</v>
      </c>
      <c r="G40" s="37" t="n">
        <f aca="false">IF(G5=0,0,G29/G5)</f>
        <v>0.065021065</v>
      </c>
      <c r="H40" s="37" t="n">
        <f aca="false">IF(H5=0,0,H29/H5)</f>
        <v>0.059056048</v>
      </c>
      <c r="I40" s="37" t="n">
        <f aca="false">IF(I5=0,0,I29/I5)</f>
        <v>0.044532634</v>
      </c>
    </row>
    <row r="41" customFormat="false" ht="15" hidden="false" customHeight="false" outlineLevel="0" collapsed="false">
      <c r="A41" s="6" t="s">
        <v>604</v>
      </c>
      <c r="B41" s="37" t="n">
        <f aca="false">IF(B10=0,0,B29/B10)</f>
        <v>38.946669</v>
      </c>
      <c r="C41" s="37" t="n">
        <f aca="false">IF(C10=0,0,C29/C10)</f>
        <v>8.77441792857143</v>
      </c>
      <c r="D41" s="37" t="n">
        <f aca="false">IF(D10=0,0,D29/D10)</f>
        <v>4.73837218181818</v>
      </c>
      <c r="E41" s="37" t="n">
        <f aca="false">IF(E10=0,0,E29/E10)</f>
        <v>3.08129957971015</v>
      </c>
      <c r="F41" s="37" t="n">
        <f aca="false">IF(F10=0,0,F29/F10)</f>
        <v>1.81878018181818</v>
      </c>
      <c r="G41" s="37" t="n">
        <f aca="false">IF(G10=0,0,G29/G10)</f>
        <v>1.18220118181818</v>
      </c>
      <c r="H41" s="37" t="n">
        <f aca="false">IF(H10=0,0,H29/H10)</f>
        <v>1.07374632727273</v>
      </c>
      <c r="I41" s="37" t="n">
        <f aca="false">IF(I10=0,0,I29/I10)</f>
        <v>0.809684254545455</v>
      </c>
    </row>
    <row r="42" customFormat="false" ht="15" hidden="false" customHeight="false" outlineLevel="0" collapsed="false">
      <c r="A42" s="6" t="s">
        <v>605</v>
      </c>
      <c r="B42" s="37" t="n">
        <f aca="false">IF(B10=0,0,B18/B10)</f>
        <v>3.82493222713099</v>
      </c>
      <c r="C42" s="37" t="n">
        <f aca="false">IF(C10=0,0,C18/C10)</f>
        <v>3.98624649522889</v>
      </c>
      <c r="D42" s="37" t="n">
        <f aca="false">IF(D10=0,0,D18/D10)</f>
        <v>4.00351613420676</v>
      </c>
      <c r="E42" s="37" t="n">
        <f aca="false">IF(E10=0,0,E18/E10)</f>
        <v>3.97870948459262</v>
      </c>
      <c r="F42" s="37" t="n">
        <f aca="false">IF(F10=0,0,F18/F10)</f>
        <v>3.99282606964177</v>
      </c>
      <c r="G42" s="37" t="n">
        <f aca="false">IF(G10=0,0,G18/G10)</f>
        <v>3.69686543901217</v>
      </c>
      <c r="H42" s="37" t="n">
        <f aca="false">IF(H10=0,0,H18/H10)</f>
        <v>3.69793444546867</v>
      </c>
      <c r="I42" s="37" t="n">
        <f aca="false">IF(I10=0,0,I18/I10)</f>
        <v>3.69686543901217</v>
      </c>
    </row>
    <row r="43" customFormat="false" ht="15" hidden="false" customHeight="false" outlineLevel="0" collapsed="false">
      <c r="A43" s="6" t="s">
        <v>606</v>
      </c>
      <c r="B43" s="37" t="n">
        <f aca="false">'Unit economics'!$C$29</f>
        <v>0.020406</v>
      </c>
      <c r="C43" s="37" t="n">
        <f aca="false">'Unit economics'!$C$29</f>
        <v>0.020406</v>
      </c>
      <c r="D43" s="37" t="n">
        <f aca="false">'Unit economics'!$C$29</f>
        <v>0.020406</v>
      </c>
      <c r="E43" s="37" t="n">
        <f aca="false">'Unit economics'!$C$29</f>
        <v>0.020406</v>
      </c>
      <c r="F43" s="37" t="n">
        <f aca="false">'Unit economics'!$C$29</f>
        <v>0.020406</v>
      </c>
      <c r="G43" s="37" t="n">
        <f aca="false">'Unit economics'!$C$29</f>
        <v>0.020406</v>
      </c>
      <c r="H43" s="37" t="n">
        <f aca="false">'Unit economics'!$C$29</f>
        <v>0.020406</v>
      </c>
      <c r="I43" s="37" t="n">
        <f aca="false">'Unit economics'!$C$29</f>
        <v>0.020406</v>
      </c>
    </row>
    <row r="44" customFormat="false" ht="15" hidden="false" customHeight="false" outlineLevel="0" collapsed="false">
      <c r="A44" s="6" t="s">
        <v>607</v>
      </c>
      <c r="B44" s="18" t="n">
        <f aca="false">IF(B18=0,0,B32/B18)</f>
        <v>-9.18231610059486</v>
      </c>
      <c r="C44" s="18" t="n">
        <f aca="false">IF(C18=0,0,C32/C18)</f>
        <v>-1.20117294278551</v>
      </c>
      <c r="D44" s="18" t="n">
        <f aca="false">IF(D18=0,0,D32/D18)</f>
        <v>-0.183552662953617</v>
      </c>
      <c r="E44" s="18" t="n">
        <f aca="false">IF(E18=0,0,E32/E18)</f>
        <v>0.225553011185575</v>
      </c>
      <c r="F44" s="18" t="n">
        <f aca="false">IF(F18=0,0,F32/F18)</f>
        <v>0.544488001707182</v>
      </c>
      <c r="G44" s="18" t="n">
        <f aca="false">IF(G18=0,0,G32/G18)</f>
        <v>0.680215252266776</v>
      </c>
      <c r="H44" s="18" t="n">
        <f aca="false">IF(H18=0,0,H32/H18)</f>
        <v>0.70963619201296</v>
      </c>
      <c r="I44" s="18" t="n">
        <f aca="false">IF(I18=0,0,I32/I18)</f>
        <v>0.780980869360014</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608</v>
      </c>
      <c r="B46" s="14"/>
      <c r="C46" s="14"/>
      <c r="D46" s="14"/>
      <c r="E46" s="14"/>
      <c r="F46" s="14"/>
      <c r="G46" s="14"/>
      <c r="H46" s="14"/>
      <c r="I46" s="14"/>
    </row>
    <row r="47" customFormat="false" ht="15" hidden="false" customHeight="false" outlineLevel="0" collapsed="false">
      <c r="A47" s="6" t="s">
        <v>609</v>
      </c>
      <c r="B47" s="37" t="n">
        <f aca="false">B8*'Unit economics'!$Q$11+B9*'Unit economics'!$Q$12</f>
        <v>15.122545515</v>
      </c>
      <c r="C47" s="37" t="n">
        <f aca="false">C8*'Unit economics'!$Q$11+C9*'Unit economics'!$Q$12</f>
        <v>70.812429369</v>
      </c>
      <c r="D47" s="37" t="n">
        <f aca="false">D8*'Unit economics'!$Q$11+D9*'Unit economics'!$Q$12</f>
        <v>139.224709635</v>
      </c>
      <c r="E47" s="37" t="n">
        <f aca="false">E8*'Unit economics'!$Q$11+E9*'Unit economics'!$Q$12</f>
        <v>349.261848639</v>
      </c>
      <c r="F47" s="37" t="n">
        <f aca="false">F8*'Unit economics'!$Q$11+F9*'Unit economics'!$Q$12</f>
        <v>696.123548175</v>
      </c>
      <c r="G47" s="37" t="n">
        <f aca="false">G8*'Unit economics'!$Q$11+G9*'Unit economics'!$Q$12</f>
        <v>1392.24709635</v>
      </c>
      <c r="H47" s="37" t="n">
        <f aca="false">H8*'Unit economics'!$Q$11+H9*'Unit economics'!$Q$12</f>
        <v>3480.617740875</v>
      </c>
      <c r="I47" s="37" t="n">
        <f aca="false">I8*'Unit economics'!$Q$11+I9*'Unit economics'!$Q$12</f>
        <v>6961.23548175</v>
      </c>
    </row>
    <row r="48" customFormat="false" ht="15" hidden="false" customHeight="false" outlineLevel="0" collapsed="false">
      <c r="A48" s="6" t="s">
        <v>610</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611</v>
      </c>
      <c r="B49" s="43" t="n">
        <f aca="false">B18-(B47+B48+B27+B28)</f>
        <v>-253.179122152214</v>
      </c>
      <c r="C49" s="43" t="n">
        <f aca="false">C18-(C47+C48+C27+C28)</f>
        <v>-342.427737502591</v>
      </c>
      <c r="D49" s="43" t="n">
        <f aca="false">D18-(D47+D48+D27+D28)</f>
        <v>-455.192672253628</v>
      </c>
      <c r="E49" s="43" t="n">
        <f aca="false">E18-(E47+E48+E27+E28)</f>
        <v>-914.067549765219</v>
      </c>
      <c r="F49" s="43" t="n">
        <f aca="false">F18-(F47+F48+F27+F28)</f>
        <v>-1476.01532902351</v>
      </c>
      <c r="G49" s="43" t="n">
        <f aca="false">G18-(G47+G48+G27+G28)</f>
        <v>-2764.69055489331</v>
      </c>
      <c r="H49" s="43" t="n">
        <f aca="false">H18-(H47+H48+H27+H28)</f>
        <v>-6761.13107835558</v>
      </c>
      <c r="I49" s="43" t="n">
        <f aca="false">I18-(I47+I48+I27+I28)</f>
        <v>-12799.0312244665</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612</v>
      </c>
      <c r="B51" s="40"/>
      <c r="C51" s="40"/>
      <c r="D51" s="40"/>
      <c r="E51" s="40"/>
      <c r="F51" s="40"/>
      <c r="G51" s="40"/>
      <c r="H51" s="40"/>
      <c r="I51" s="40"/>
    </row>
    <row r="52" customFormat="false" ht="31.5" hidden="false" customHeight="true" outlineLevel="0" collapsed="false">
      <c r="A52" s="40" t="s">
        <v>613</v>
      </c>
      <c r="B52" s="40"/>
      <c r="C52" s="40"/>
      <c r="D52" s="40"/>
      <c r="E52" s="40"/>
      <c r="F52" s="40"/>
      <c r="G52" s="40"/>
      <c r="H52" s="40"/>
      <c r="I52" s="40"/>
    </row>
    <row r="53" customFormat="false" ht="31.5" hidden="false" customHeight="true" outlineLevel="0" collapsed="false">
      <c r="A53" s="40" t="s">
        <v>614</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615</v>
      </c>
      <c r="B1" s="70"/>
      <c r="C1" s="70"/>
      <c r="D1" s="70"/>
      <c r="E1" s="70"/>
      <c r="F1" s="70"/>
    </row>
    <row r="2" customFormat="false" ht="15" hidden="false" customHeight="false" outlineLevel="0" collapsed="false">
      <c r="A2" s="44" t="s">
        <v>616</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617</v>
      </c>
      <c r="B4" s="20" t="s">
        <v>618</v>
      </c>
      <c r="C4" s="20" t="s">
        <v>188</v>
      </c>
      <c r="D4" s="20" t="s">
        <v>191</v>
      </c>
      <c r="E4" s="20" t="s">
        <v>619</v>
      </c>
      <c r="F4" s="20" t="s">
        <v>620</v>
      </c>
    </row>
    <row r="5" customFormat="false" ht="55.5" hidden="false" customHeight="true" outlineLevel="0" collapsed="false">
      <c r="A5" s="71" t="s">
        <v>621</v>
      </c>
      <c r="B5" s="22" t="s">
        <v>622</v>
      </c>
      <c r="C5" s="22" t="s">
        <v>623</v>
      </c>
      <c r="D5" s="22" t="s">
        <v>624</v>
      </c>
      <c r="E5" s="22" t="s">
        <v>625</v>
      </c>
      <c r="F5" s="22" t="s">
        <v>626</v>
      </c>
    </row>
    <row r="6" customFormat="false" ht="55.5" hidden="false" customHeight="true" outlineLevel="0" collapsed="false">
      <c r="A6" s="71" t="s">
        <v>627</v>
      </c>
      <c r="B6" s="22" t="s">
        <v>628</v>
      </c>
      <c r="C6" s="22" t="s">
        <v>629</v>
      </c>
      <c r="D6" s="22" t="s">
        <v>630</v>
      </c>
      <c r="E6" s="22" t="s">
        <v>631</v>
      </c>
      <c r="F6" s="22" t="s">
        <v>632</v>
      </c>
    </row>
    <row r="7" customFormat="false" ht="55.5" hidden="false" customHeight="true" outlineLevel="0" collapsed="false">
      <c r="A7" s="71" t="s">
        <v>633</v>
      </c>
      <c r="B7" s="22" t="s">
        <v>634</v>
      </c>
      <c r="C7" s="22" t="s">
        <v>635</v>
      </c>
      <c r="D7" s="22" t="s">
        <v>636</v>
      </c>
      <c r="E7" s="22" t="s">
        <v>637</v>
      </c>
      <c r="F7" s="22" t="s">
        <v>638</v>
      </c>
    </row>
    <row r="8" customFormat="false" ht="55.5" hidden="false" customHeight="true" outlineLevel="0" collapsed="false">
      <c r="A8" s="71" t="s">
        <v>639</v>
      </c>
      <c r="B8" s="22" t="s">
        <v>640</v>
      </c>
      <c r="C8" s="22" t="s">
        <v>641</v>
      </c>
      <c r="D8" s="22" t="s">
        <v>209</v>
      </c>
      <c r="E8" s="22" t="s">
        <v>642</v>
      </c>
      <c r="F8" s="22" t="s">
        <v>643</v>
      </c>
    </row>
    <row r="9" customFormat="false" ht="55.5" hidden="false" customHeight="true" outlineLevel="0" collapsed="false">
      <c r="A9" s="71" t="s">
        <v>644</v>
      </c>
      <c r="B9" s="22" t="s">
        <v>645</v>
      </c>
      <c r="C9" s="22" t="s">
        <v>618</v>
      </c>
      <c r="D9" s="22" t="s">
        <v>618</v>
      </c>
      <c r="E9" s="22" t="s">
        <v>646</v>
      </c>
      <c r="F9" s="22" t="s">
        <v>643</v>
      </c>
    </row>
    <row r="10" customFormat="false" ht="55.5" hidden="false" customHeight="true" outlineLevel="0" collapsed="false">
      <c r="A10" s="71" t="s">
        <v>647</v>
      </c>
      <c r="B10" s="22" t="s">
        <v>648</v>
      </c>
      <c r="C10" s="22" t="s">
        <v>641</v>
      </c>
      <c r="D10" s="22" t="s">
        <v>649</v>
      </c>
      <c r="E10" s="22" t="s">
        <v>650</v>
      </c>
      <c r="F10" s="22" t="s">
        <v>643</v>
      </c>
    </row>
    <row r="11" customFormat="false" ht="55.5" hidden="false" customHeight="true" outlineLevel="0" collapsed="false">
      <c r="A11" s="71" t="s">
        <v>651</v>
      </c>
      <c r="B11" s="22" t="s">
        <v>645</v>
      </c>
      <c r="C11" s="22" t="s">
        <v>645</v>
      </c>
      <c r="D11" s="22" t="s">
        <v>649</v>
      </c>
      <c r="E11" s="22" t="s">
        <v>652</v>
      </c>
      <c r="F11" s="22" t="s">
        <v>653</v>
      </c>
    </row>
    <row r="12" customFormat="false" ht="55.5" hidden="false" customHeight="true" outlineLevel="0" collapsed="false">
      <c r="A12" s="71" t="s">
        <v>654</v>
      </c>
      <c r="B12" s="22" t="s">
        <v>655</v>
      </c>
      <c r="C12" s="22" t="s">
        <v>641</v>
      </c>
      <c r="D12" s="22" t="s">
        <v>649</v>
      </c>
      <c r="E12" s="22" t="s">
        <v>656</v>
      </c>
      <c r="F12" s="22" t="s">
        <v>657</v>
      </c>
    </row>
    <row r="13" customFormat="false" ht="55.5" hidden="false" customHeight="true" outlineLevel="0" collapsed="false">
      <c r="A13" s="71" t="s">
        <v>658</v>
      </c>
      <c r="B13" s="22" t="s">
        <v>286</v>
      </c>
      <c r="C13" s="22" t="s">
        <v>286</v>
      </c>
      <c r="D13" s="22" t="s">
        <v>649</v>
      </c>
      <c r="E13" s="22" t="s">
        <v>659</v>
      </c>
      <c r="F13" s="22" t="s">
        <v>660</v>
      </c>
    </row>
    <row r="14" customFormat="false" ht="55.5" hidden="false" customHeight="true" outlineLevel="0" collapsed="false">
      <c r="A14" s="71" t="s">
        <v>661</v>
      </c>
      <c r="B14" s="22" t="s">
        <v>662</v>
      </c>
      <c r="C14" s="22" t="s">
        <v>641</v>
      </c>
      <c r="D14" s="22" t="s">
        <v>649</v>
      </c>
      <c r="E14" s="22" t="s">
        <v>663</v>
      </c>
      <c r="F14" s="22" t="s">
        <v>664</v>
      </c>
    </row>
    <row r="15" customFormat="false" ht="55.5" hidden="false" customHeight="true" outlineLevel="0" collapsed="false">
      <c r="A15" s="71" t="s">
        <v>665</v>
      </c>
      <c r="B15" s="22" t="s">
        <v>666</v>
      </c>
      <c r="C15" s="22" t="s">
        <v>666</v>
      </c>
      <c r="D15" s="22" t="s">
        <v>667</v>
      </c>
      <c r="E15" s="22" t="s">
        <v>668</v>
      </c>
      <c r="F15" s="22" t="s">
        <v>669</v>
      </c>
    </row>
    <row r="16" customFormat="false" ht="55.5" hidden="false" customHeight="true" outlineLevel="0" collapsed="false">
      <c r="A16" s="71" t="s">
        <v>670</v>
      </c>
      <c r="B16" s="22" t="s">
        <v>671</v>
      </c>
      <c r="C16" s="22" t="s">
        <v>641</v>
      </c>
      <c r="D16" s="22" t="s">
        <v>672</v>
      </c>
      <c r="E16" s="22" t="s">
        <v>659</v>
      </c>
      <c r="F16" s="22" t="s">
        <v>673</v>
      </c>
    </row>
    <row r="17" customFormat="false" ht="55.5" hidden="false" customHeight="true" outlineLevel="0" collapsed="false">
      <c r="A17" s="71" t="s">
        <v>674</v>
      </c>
      <c r="B17" s="22" t="s">
        <v>675</v>
      </c>
      <c r="C17" s="22" t="s">
        <v>641</v>
      </c>
      <c r="D17" s="22" t="s">
        <v>672</v>
      </c>
      <c r="E17" s="22" t="s">
        <v>659</v>
      </c>
      <c r="F17" s="22" t="s">
        <v>676</v>
      </c>
    </row>
    <row r="18" customFormat="false" ht="55.5" hidden="false" customHeight="true" outlineLevel="0" collapsed="false">
      <c r="A18" s="71" t="s">
        <v>677</v>
      </c>
      <c r="B18" s="22" t="s">
        <v>678</v>
      </c>
      <c r="C18" s="22" t="s">
        <v>679</v>
      </c>
      <c r="D18" s="22" t="s">
        <v>680</v>
      </c>
      <c r="E18" s="22" t="s">
        <v>681</v>
      </c>
      <c r="F18" s="22" t="s">
        <v>682</v>
      </c>
    </row>
    <row r="19" customFormat="false" ht="55.5" hidden="false" customHeight="true" outlineLevel="0" collapsed="false">
      <c r="A19" s="71" t="s">
        <v>683</v>
      </c>
      <c r="B19" s="22" t="s">
        <v>684</v>
      </c>
      <c r="C19" s="22" t="s">
        <v>641</v>
      </c>
      <c r="D19" s="22" t="s">
        <v>649</v>
      </c>
      <c r="E19" s="22" t="s">
        <v>685</v>
      </c>
      <c r="F19" s="22" t="s">
        <v>686</v>
      </c>
    </row>
    <row r="20" customFormat="false" ht="55.5" hidden="false" customHeight="true" outlineLevel="0" collapsed="false">
      <c r="A20" s="71" t="s">
        <v>687</v>
      </c>
      <c r="B20" s="22" t="s">
        <v>688</v>
      </c>
      <c r="C20" s="22" t="s">
        <v>689</v>
      </c>
      <c r="D20" s="22" t="s">
        <v>690</v>
      </c>
      <c r="E20" s="22" t="s">
        <v>691</v>
      </c>
      <c r="F20" s="22" t="s">
        <v>692</v>
      </c>
    </row>
    <row r="21" customFormat="false" ht="55.5" hidden="false" customHeight="true" outlineLevel="0" collapsed="false">
      <c r="A21" s="71" t="s">
        <v>693</v>
      </c>
      <c r="B21" s="22" t="s">
        <v>694</v>
      </c>
      <c r="C21" s="22" t="s">
        <v>695</v>
      </c>
      <c r="D21" s="22" t="s">
        <v>696</v>
      </c>
      <c r="E21" s="22" t="s">
        <v>697</v>
      </c>
      <c r="F21" s="22" t="s">
        <v>698</v>
      </c>
    </row>
    <row r="22" customFormat="false" ht="55.5" hidden="false" customHeight="true" outlineLevel="0" collapsed="false">
      <c r="A22" s="71" t="s">
        <v>699</v>
      </c>
      <c r="B22" s="22" t="s">
        <v>700</v>
      </c>
      <c r="C22" s="22" t="s">
        <v>700</v>
      </c>
      <c r="D22" s="22" t="s">
        <v>701</v>
      </c>
      <c r="E22" s="22" t="s">
        <v>659</v>
      </c>
      <c r="F22" s="22" t="s">
        <v>702</v>
      </c>
    </row>
    <row r="23" customFormat="false" ht="55.5" hidden="false" customHeight="true" outlineLevel="0" collapsed="false">
      <c r="A23" s="71" t="s">
        <v>703</v>
      </c>
      <c r="B23" s="22" t="s">
        <v>209</v>
      </c>
      <c r="C23" s="22" t="s">
        <v>704</v>
      </c>
      <c r="D23" s="22" t="s">
        <v>704</v>
      </c>
      <c r="E23" s="22" t="s">
        <v>209</v>
      </c>
      <c r="F23" s="22" t="s">
        <v>643</v>
      </c>
    </row>
    <row r="24" customFormat="false" ht="55.5" hidden="false" customHeight="true" outlineLevel="0" collapsed="false">
      <c r="A24" s="71" t="s">
        <v>705</v>
      </c>
      <c r="B24" s="22" t="s">
        <v>209</v>
      </c>
      <c r="C24" s="22" t="s">
        <v>706</v>
      </c>
      <c r="D24" s="22" t="s">
        <v>706</v>
      </c>
      <c r="E24" s="22" t="s">
        <v>209</v>
      </c>
      <c r="F24" s="22" t="s">
        <v>707</v>
      </c>
    </row>
    <row r="25" customFormat="false" ht="55.5" hidden="false" customHeight="true" outlineLevel="0" collapsed="false">
      <c r="A25" s="71" t="s">
        <v>708</v>
      </c>
      <c r="B25" s="22" t="s">
        <v>209</v>
      </c>
      <c r="C25" s="22" t="s">
        <v>709</v>
      </c>
      <c r="D25" s="22" t="s">
        <v>709</v>
      </c>
      <c r="E25" s="22" t="s">
        <v>659</v>
      </c>
      <c r="F25" s="22" t="s">
        <v>710</v>
      </c>
    </row>
    <row r="26" customFormat="false" ht="55.5" hidden="false" customHeight="true" outlineLevel="0" collapsed="false">
      <c r="A26" s="71" t="s">
        <v>711</v>
      </c>
      <c r="B26" s="22" t="s">
        <v>209</v>
      </c>
      <c r="C26" s="22" t="s">
        <v>712</v>
      </c>
      <c r="D26" s="22" t="s">
        <v>713</v>
      </c>
      <c r="E26" s="22" t="s">
        <v>659</v>
      </c>
      <c r="F26" s="22" t="s">
        <v>714</v>
      </c>
    </row>
    <row r="27" customFormat="false" ht="55.5" hidden="false" customHeight="true" outlineLevel="0" collapsed="false">
      <c r="A27" s="71" t="s">
        <v>715</v>
      </c>
      <c r="B27" s="22" t="s">
        <v>209</v>
      </c>
      <c r="C27" s="22" t="s">
        <v>716</v>
      </c>
      <c r="D27" s="22" t="s">
        <v>717</v>
      </c>
      <c r="E27" s="22" t="s">
        <v>718</v>
      </c>
      <c r="F27" s="22" t="s">
        <v>643</v>
      </c>
    </row>
    <row r="28" customFormat="false" ht="55.5" hidden="false" customHeight="true" outlineLevel="0" collapsed="false">
      <c r="A28" s="71" t="s">
        <v>719</v>
      </c>
      <c r="B28" s="22" t="s">
        <v>209</v>
      </c>
      <c r="C28" s="22" t="s">
        <v>720</v>
      </c>
      <c r="D28" s="22" t="s">
        <v>720</v>
      </c>
      <c r="E28" s="22" t="s">
        <v>659</v>
      </c>
      <c r="F28" s="22" t="s">
        <v>643</v>
      </c>
    </row>
    <row r="29" customFormat="false" ht="15" hidden="false" customHeight="false" outlineLevel="0" collapsed="false">
      <c r="A29" s="70"/>
      <c r="B29" s="70"/>
      <c r="C29" s="70"/>
      <c r="D29" s="70"/>
      <c r="E29" s="70"/>
      <c r="F29" s="70"/>
    </row>
    <row r="30" customFormat="false" ht="15" hidden="false" customHeight="false" outlineLevel="0" collapsed="false">
      <c r="A30" s="14" t="s">
        <v>721</v>
      </c>
      <c r="B30" s="14"/>
      <c r="C30" s="14"/>
      <c r="D30" s="14"/>
      <c r="E30" s="14"/>
      <c r="F30" s="14"/>
    </row>
    <row r="31" customFormat="false" ht="31.5" hidden="false" customHeight="true" outlineLevel="0" collapsed="false">
      <c r="A31" s="6" t="n">
        <v>1</v>
      </c>
      <c r="B31" s="40" t="s">
        <v>722</v>
      </c>
      <c r="C31" s="40"/>
      <c r="D31" s="40"/>
      <c r="E31" s="40"/>
      <c r="F31" s="40"/>
    </row>
    <row r="32" customFormat="false" ht="31.5" hidden="false" customHeight="true" outlineLevel="0" collapsed="false">
      <c r="A32" s="6" t="n">
        <v>2</v>
      </c>
      <c r="B32" s="40" t="s">
        <v>723</v>
      </c>
      <c r="C32" s="40"/>
      <c r="D32" s="40"/>
      <c r="E32" s="40"/>
      <c r="F32" s="40"/>
    </row>
    <row r="33" customFormat="false" ht="31.5" hidden="false" customHeight="true" outlineLevel="0" collapsed="false">
      <c r="A33" s="6" t="n">
        <v>3</v>
      </c>
      <c r="B33" s="40" t="s">
        <v>724</v>
      </c>
      <c r="C33" s="40"/>
      <c r="D33" s="40"/>
      <c r="E33" s="40"/>
      <c r="F33" s="40"/>
    </row>
    <row r="34" customFormat="false" ht="31.5" hidden="false" customHeight="true" outlineLevel="0" collapsed="false">
      <c r="A34" s="6" t="n">
        <v>4</v>
      </c>
      <c r="B34" s="40" t="s">
        <v>725</v>
      </c>
      <c r="C34" s="40"/>
      <c r="D34" s="40"/>
      <c r="E34" s="40"/>
      <c r="F34" s="40"/>
    </row>
    <row r="35" customFormat="false" ht="31.5" hidden="false" customHeight="true" outlineLevel="0" collapsed="false">
      <c r="A35" s="6" t="n">
        <v>5</v>
      </c>
      <c r="B35" s="40" t="s">
        <v>726</v>
      </c>
      <c r="C35" s="40"/>
      <c r="D35" s="40"/>
      <c r="E35" s="40"/>
      <c r="F35" s="40"/>
    </row>
    <row r="36" customFormat="false" ht="31.5" hidden="false" customHeight="true" outlineLevel="0" collapsed="false">
      <c r="A36" s="6" t="n">
        <v>6</v>
      </c>
      <c r="B36" s="40" t="s">
        <v>727</v>
      </c>
      <c r="C36" s="40"/>
      <c r="D36" s="40"/>
      <c r="E36" s="40"/>
      <c r="F36" s="40"/>
    </row>
    <row r="37" customFormat="false" ht="31.5" hidden="false" customHeight="true" outlineLevel="0" collapsed="false">
      <c r="A37" s="6" t="n">
        <v>7</v>
      </c>
      <c r="B37" s="40" t="s">
        <v>728</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2026-10-27T00:28:13Z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