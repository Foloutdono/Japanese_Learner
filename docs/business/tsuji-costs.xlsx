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Pricing" sheetId="3" state="visible" r:id="rId5"/>
    <sheet name="Start-up costs" sheetId="4" state="visible" r:id="rId6"/>
    <sheet name="Fixed costs" sheetId="5" state="visible" r:id="rId7"/>
    <sheet name="Unit economics" sheetId="6" state="visible" r:id="rId8"/>
    <sheet name="Projection" sheetId="7" state="visible" r:id="rId9"/>
    <sheet name="Offer review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<sst xmlns="http://schemas.openxmlformats.org/spreadsheetml/2006/main" count="636" uniqueCount="459">
  <si>
    <t xml:space="preserve">Tsuji — cost overview</t>
  </si>
  <si>
    <t xml:space="preserve">All figures in €. Green = pulled from another sheet. Status: student self-employed (étudiant-indépendant), VAT-exempt while eligible.</t>
  </si>
  <si>
    <t xml:space="preserve">Prices (VAT included)</t>
  </si>
  <si>
    <t xml:space="preserve">Pro – monthly / annual</t>
  </si>
  <si>
    <t xml:space="preserve">Max – monthly / annual</t>
  </si>
  <si>
    <t xml:space="preserve">To start (one-off)</t>
  </si>
  <si>
    <t xml:space="preserve">Start-up costs – required items, expected</t>
  </si>
  <si>
    <t xml:space="preserve">Start-up costs – including optional items (EU trademark, Mac, marketing…)</t>
  </si>
  <si>
    <t xml:space="preserve">Fixed costs per month</t>
  </si>
  <si>
    <t xml:space="preserve">Launch stage</t>
  </si>
  <si>
    <t xml:space="preserve">Growth stage</t>
  </si>
  <si>
    <t xml:space="preserve">Scale stage</t>
  </si>
  <si>
    <t xml:space="preserve">First 12 months before any revenue (start-up + 12 × Launch)</t>
  </si>
  <si>
    <t xml:space="preserve">Per subscriber, per month (after VAT, fees, LLM, infrastructure)</t>
  </si>
  <si>
    <t xml:space="preserve">Pro – contribution margin (blended monthly/annual)</t>
  </si>
  <si>
    <t xml:space="preserve">Max – contribution margin (blended)</t>
  </si>
  <si>
    <t xml:space="preserve">All payers – contribution margin</t>
  </si>
  <si>
    <t xml:space="preserve">All payers – margin, worst-case LLM</t>
  </si>
  <si>
    <t xml:space="preserve">One free user – variable cost</t>
  </si>
  <si>
    <t xml:space="preserve">Break-even at the Launch stage (conservative, with VAT on web sales)</t>
  </si>
  <si>
    <t xml:space="preserve">Paying users needed</t>
  </si>
  <si>
    <t xml:space="preserve">Active users needed (at the assumed conversion)</t>
  </si>
  <si>
    <t xml:space="preserve">Projection (from the 'Projection' sheet)</t>
  </si>
  <si>
    <t xml:space="preserve">Active users</t>
  </si>
  <si>
    <t xml:space="preserve">Net revenue / month</t>
  </si>
  <si>
    <t xml:space="preserve">Total costs / month</t>
  </si>
  <si>
    <t xml:space="preserve">Social contributions / month</t>
  </si>
  <si>
    <t xml:space="preserve">Result after social contributions / month</t>
  </si>
  <si>
    <t xml:space="preserve">VAT exemption applies? (1 = yes)</t>
  </si>
  <si>
    <t xml:space="preserve">Still within the student status?</t>
  </si>
  <si>
    <t xml:space="preserve">Cost per active user / month</t>
  </si>
  <si>
    <t xml:space="preserve">Cost per paying user / month</t>
  </si>
  <si>
    <t xml:space="preserve">Assumptions</t>
  </si>
  <si>
    <t xml:space="preserve">Blue = input you can change · yellow = key assumption to check · every other sheet reads from here.</t>
  </si>
  <si>
    <t xml:space="preserve">Parameter</t>
  </si>
  <si>
    <t xml:space="preserve">Value</t>
  </si>
  <si>
    <t xml:space="preserve">Unit</t>
  </si>
  <si>
    <t xml:space="preserve">Source / note</t>
  </si>
  <si>
    <t xml:space="preserve">General</t>
  </si>
  <si>
    <t xml:space="preserve">Exchange rate USD → EUR</t>
  </si>
  <si>
    <t xml:space="preserve">€ per $</t>
  </si>
  <si>
    <t xml:space="preserve">Most providers bill in USD. Set to the current rate.</t>
  </si>
  <si>
    <t xml:space="preserve">VAT rate on consumer sales</t>
  </si>
  <si>
    <t xml:space="preserve">%</t>
  </si>
  <si>
    <t xml:space="preserve">Belgium 21%. Buyers elsewhere in the EU pay their country's rate through the OSS (FR 20%, DE 19%...). Prices are VAT-inclusive.</t>
  </si>
  <si>
    <t xml:space="preserve">VAT you pay on services bought abroad, and can't deduct</t>
  </si>
  <si>
    <t xml:space="preserve">Under the small-business VAT exemption you can't deduct VAT. Services from outside Belgium (Render, Vercel, Supabase, Google AI, Apple...) are taxed through the reverse charge at 21% and cost 21% more. Set to 0% once you register for VAT normally. Check this with your accountant.</t>
  </si>
  <si>
    <t xml:space="preserve">Prices (VAT included) – see the 'Pricing' sheet</t>
  </si>
  <si>
    <t xml:space="preserve">Pro – monthly</t>
  </si>
  <si>
    <t xml:space="preserve">€ / month</t>
  </si>
  <si>
    <t xml:space="preserve">Proposed. Was €8.</t>
  </si>
  <si>
    <t xml:space="preserve">Pro – annual</t>
  </si>
  <si>
    <t xml:space="preserve">€ / year</t>
  </si>
  <si>
    <t xml:space="preserve">Proposed: '€5 a month'. Was €52.</t>
  </si>
  <si>
    <t xml:space="preserve">Max – monthly</t>
  </si>
  <si>
    <t xml:space="preserve">Proposed. Was €12 (as 'Unlimited').</t>
  </si>
  <si>
    <t xml:space="preserve">Max – annual</t>
  </si>
  <si>
    <t xml:space="preserve">Proposed. Was €65.</t>
  </si>
  <si>
    <t xml:space="preserve">Who pays, and how</t>
  </si>
  <si>
    <t xml:space="preserve">Share of active users on Pro</t>
  </si>
  <si>
    <t xml:space="preserve">% of MAU</t>
  </si>
  <si>
    <t xml:space="preserve">Freemium language apps typically convert 2–8% of active users. Replace with real data after launch.</t>
  </si>
  <si>
    <t xml:space="preserve">Share of active users on Max</t>
  </si>
  <si>
    <t xml:space="preserve">Max is sold mainly as an upgrade when a Pro user reaches a limit, so it stays small.</t>
  </si>
  <si>
    <t xml:space="preserve">Share of Pro payers on the annual plan</t>
  </si>
  <si>
    <t xml:space="preserve">% of Pro payers</t>
  </si>
  <si>
    <t xml:space="preserve">The goal: most Pro buyers choose the annual plan (pre-selected, '€5 a month', trial on annual only).</t>
  </si>
  <si>
    <t xml:space="preserve">Share of Max payers on the annual plan</t>
  </si>
  <si>
    <t xml:space="preserve">% of Max payers</t>
  </si>
  <si>
    <t xml:space="preserve">Upgrades from Pro annual go to annual; upgrades from Pro monthly go to monthly.</t>
  </si>
  <si>
    <t xml:space="preserve">Share bought through the App Store / Google Play</t>
  </si>
  <si>
    <t xml:space="preserve">% of payers</t>
  </si>
  <si>
    <t xml:space="preserve">The rest is bought on the web (Stripe). Selling the annual plan on the landing page avoids the commission.</t>
  </si>
  <si>
    <t xml:space="preserve">Payment fees</t>
  </si>
  <si>
    <t xml:space="preserve">App Store / Google Play commission</t>
  </si>
  <si>
    <t xml:space="preserve">% of price excl. VAT</t>
  </si>
  <si>
    <t xml:space="preserve">15% under the Small Business Programs (&lt; $1M/yr) and on every subscription after its first year; 30% otherwise. Stores collect and remit VAT for you.</t>
  </si>
  <si>
    <t xml:space="preserve">Stripe card fee (EEA cards)</t>
  </si>
  <si>
    <t xml:space="preserve">% of charge</t>
  </si>
  <si>
    <t xml:space="preserve">Stripe Belgium standard EEA cards: 1.5% + €0.25.</t>
  </si>
  <si>
    <t xml:space="preserve">Stripe fixed fee per charge</t>
  </si>
  <si>
    <t xml:space="preserve">€ / charge</t>
  </si>
  <si>
    <t xml:space="preserve">Paid on every monthly renewal, once a year on annual plans.</t>
  </si>
  <si>
    <t xml:space="preserve">Stripe Billing (subscriptions)</t>
  </si>
  <si>
    <t xml:space="preserve">Stripe Billing pay-as-you-go.</t>
  </si>
  <si>
    <t xml:space="preserve">Small-business VAT exemption (franchise regime)</t>
  </si>
  <si>
    <t xml:space="preserve">Use the VAT exemption while you're eligible (Y/N)</t>
  </si>
  <si>
    <t xml:space="preserve">Y</t>
  </si>
  <si>
    <t xml:space="preserve">Y / N</t>
  </si>
  <si>
    <t xml:space="preserve">Web buyers are then charged no VAT and you keep the whole price. The stores still apply VAT (they are the seller in-app).</t>
  </si>
  <si>
    <t xml:space="preserve">Annual turnover limit for the exemption</t>
  </si>
  <si>
    <t xml:space="preserve">Belgian small-business exemption limit.</t>
  </si>
  <si>
    <t xml:space="preserve">Limit for web sales to consumers in other EU countries</t>
  </si>
  <si>
    <t xml:space="preserve">Above this, buyers abroad pay their own country's VAT (e.g. 20% in France) even if you're exempt in Belgium. Tsuji is French-first, so this limit comes first.</t>
  </si>
  <si>
    <t xml:space="preserve">Share of web buyers outside Belgium</t>
  </si>
  <si>
    <t xml:space="preserve">% of web sales</t>
  </si>
  <si>
    <t xml:space="preserve">Assumption: mostly French-speaking buyers in France.</t>
  </si>
  <si>
    <t xml:space="preserve">Variable cost per user per month</t>
  </si>
  <si>
    <t xml:space="preserve">LLM cost – Pro user, expected</t>
  </si>
  <si>
    <t xml:space="preserve">$ / month</t>
  </si>
  <si>
    <t xml:space="preserve">scripts/llm_cost_model.py --fleet: Gemini 3.1 Flash-Lite, 70% light / 25% typical / 5% heavy, with caching. The free Explain button is included (phrase analysis, mostly cached).</t>
  </si>
  <si>
    <t xml:space="preserve">LLM cost – Pro user, worst case</t>
  </si>
  <si>
    <t xml:space="preserve">A heavy user (3× typical). Practice plays, chatbot questions and mock exams all take a credit, so 30 credits a day caps Pro.</t>
  </si>
  <si>
    <t xml:space="preserve">LLM cost – Max user, expected</t>
  </si>
  <si>
    <t xml:space="preserve">llm_cost_model.py 'typical' user: Max buyers use the app more.</t>
  </si>
  <si>
    <t xml:space="preserve">LLM cost – Max user, worst case</t>
  </si>
  <si>
    <t xml:space="preserve">Every daily safety cap reached every day (photos 20, new comprehension texts 10, composition 30, questions 40). Only true while those caps exist.</t>
  </si>
  <si>
    <t xml:space="preserve">Variable infrastructure – free user</t>
  </si>
  <si>
    <t xml:space="preserve">Database, auth and bandwidth beyond what the fixed plans include.</t>
  </si>
  <si>
    <t xml:space="preserve">Variable infrastructure – paying user</t>
  </si>
  <si>
    <t xml:space="preserve">More audio, practice logs and analyser history.</t>
  </si>
  <si>
    <t xml:space="preserve">Stages (which fixed-cost column applies)</t>
  </si>
  <si>
    <t xml:space="preserve">Growth stage starts at</t>
  </si>
  <si>
    <t xml:space="preserve">active users</t>
  </si>
  <si>
    <t xml:space="preserve">Bigger Render/Supabase plans, paid e-mail. See 'Fixed costs'.</t>
  </si>
  <si>
    <t xml:space="preserve">Scale stage starts at</t>
  </si>
  <si>
    <t xml:space="preserve">Social contributions – student self-employed (étudiant-indépendant), 2026</t>
  </si>
  <si>
    <t xml:space="preserve">No contributions up to</t>
  </si>
  <si>
    <t xml:space="preserve">€ net profit / year</t>
  </si>
  <si>
    <t xml:space="preserve">Below this taxable profit you owe nothing (2026, UCM / Liantis / Partena).</t>
  </si>
  <si>
    <t xml:space="preserve">Student status limit</t>
  </si>
  <si>
    <t xml:space="preserve">Between the two limits: 20.5% of the part above €8,687.04. At or above this one you pay as a full-time self-employed person.</t>
  </si>
  <si>
    <t xml:space="preserve">Contribution rate</t>
  </si>
  <si>
    <t xml:space="preserve">20.5% (applies up to ≈ €75k a year; the lower rate above that isn't modelled).</t>
  </si>
  <si>
    <t xml:space="preserve">Full-time self-employed minimum, per quarter</t>
  </si>
  <si>
    <t xml:space="preserve">€ / quarter</t>
  </si>
  <si>
    <t xml:space="preserve">Applies once profit reaches the student status limit (2026; sources give €917.58–925.59, check with your fund).</t>
  </si>
  <si>
    <t xml:space="preserve">Not modelled: income tax (IPP). Everything here is before income tax. Student self-employed status: 18–25 years old, enrolled for at least 27 credits, proof sent to your fund every year.</t>
  </si>
  <si>
    <t xml:space="preserve">Pricing: pushing the annual Pro plan, with Max as the upgrade</t>
  </si>
  <si>
    <t xml:space="preserve">Old prices are your first grid; new prices come from Assumptions (change them there).</t>
  </si>
  <si>
    <t xml:space="preserve">Plan</t>
  </si>
  <si>
    <t xml:space="preserve">Billing</t>
  </si>
  <si>
    <t xml:space="preserve">Old price (€)</t>
  </si>
  <si>
    <t xml:space="preserve">New price (€)</t>
  </si>
  <si>
    <t xml:space="preserve">Per month (€)</t>
  </si>
  <si>
    <t xml:space="preserve">Saving vs monthly</t>
  </si>
  <si>
    <t xml:space="preserve">Change vs old</t>
  </si>
  <si>
    <t xml:space="preserve">Store price point?</t>
  </si>
  <si>
    <t xml:space="preserve">Pro</t>
  </si>
  <si>
    <t xml:space="preserve">Monthly</t>
  </si>
  <si>
    <t xml:space="preserve">Annual</t>
  </si>
  <si>
    <t xml:space="preserve">Max</t>
  </si>
  <si>
    <t xml:space="preserve">Upgrade to Max (when a Pro user reaches a limit)</t>
  </si>
  <si>
    <t xml:space="preserve">From Pro annual to Max annual, per year</t>
  </si>
  <si>
    <t xml:space="preserve">… per month</t>
  </si>
  <si>
    <t xml:space="preserve">From Pro monthly to Max monthly, per month</t>
  </si>
  <si>
    <t xml:space="preserve">Charge only the difference for the months left (proration): the stores do it automatically for upgrades within a subscription group, and so does Stripe.</t>
  </si>
  <si>
    <t xml:space="preserve">Competitors (list prices, USD)</t>
  </si>
  <si>
    <t xml:space="preserve">App</t>
  </si>
  <si>
    <t xml:space="preserve">What it covers</t>
  </si>
  <si>
    <t xml:space="preserve">Monthly ($)</t>
  </si>
  <si>
    <t xml:space="preserve">Annual ($)</t>
  </si>
  <si>
    <t xml:space="preserve">Lifetime ($)</t>
  </si>
  <si>
    <t xml:space="preserve">Source</t>
  </si>
  <si>
    <t xml:space="preserve">WaniKani</t>
  </si>
  <si>
    <t xml:space="preserve">Kanji and vocabulary only</t>
  </si>
  <si>
    <t xml:space="preserve">wanilog.com, 2026</t>
  </si>
  <si>
    <t xml:space="preserve">Bunpro</t>
  </si>
  <si>
    <t xml:space="preserve">Grammar only</t>
  </si>
  <si>
    <t xml:space="preserve">—</t>
  </si>
  <si>
    <t xml:space="preserve">languavibe.com, May 2026</t>
  </si>
  <si>
    <t xml:space="preserve">Renshuu Pro</t>
  </si>
  <si>
    <t xml:space="preserve">Vocab, kanji, grammar</t>
  </si>
  <si>
    <t xml:space="preserve">App Store listing, 2026</t>
  </si>
  <si>
    <t xml:space="preserve">WaniKani + Bunpro</t>
  </si>
  <si>
    <t xml:space="preserve">What Tsuji Pro replaces</t>
  </si>
  <si>
    <t xml:space="preserve">Sum of the two monthly prices</t>
  </si>
  <si>
    <t xml:space="preserve">Why these prices</t>
  </si>
  <si>
    <t xml:space="preserve">Pro annual is the headline: €59.99 = '€5 a month'. Show it first, pre-selected, with 'Save 44%'. It's +15% over the old €52, but still below WaniKani alone ($89) while covering kana, vocab, kanji, grammar, practice, mock exams and the analyser.</t>
  </si>
  <si>
    <t xml:space="preserve">Pro monthly (€8.99) is the anchor. It's there to make the annual plan look cheap, and it's the same price as WaniKani's monthly plan. Few people should pick it.</t>
  </si>
  <si>
    <t xml:space="preserve">Max annual (€99.99) is €40 more than Pro annual, a real step. The old €13 gap made Max annual the obvious pick and Pro annual pointless. Now the upgrade, when a Pro user reaches a limit, reads '+€3.33 a month'.</t>
  </si>
  <si>
    <t xml:space="preserve">Max monthly (€14.99) stays under the big general apps' premium plans, and gives monthly Pro users a clear step up.</t>
  </si>
  <si>
    <t xml:space="preserve">All four prices are standard App Store / Google Play price points (x.99).</t>
  </si>
  <si>
    <t xml:space="preserve">Levers for more annual Pro (not modelled): a 7-day free trial on Pro annual only, and a launch offer for early users (e.g. €49.99 the first year).</t>
  </si>
  <si>
    <t xml:space="preserve">Sell the annual plan on the web too (landing page, Stripe). In-app you keep about 70% of the price; on the web, VAT-exempt, about 98% (see 'Unit economics').</t>
  </si>
  <si>
    <t xml:space="preserve">The numbers to re-check after launch: conversion, the annual share, and how many Pro users reach a limit. Change them in Assumptions.</t>
  </si>
  <si>
    <t xml:space="preserve">One-off costs to start</t>
  </si>
  <si>
    <t xml:space="preserve">Include = Y counts in the totals · amounts in the currency named · the € columns are calculated, adding the non-deductible VAT on services bought abroad (Assumptions).</t>
  </si>
  <si>
    <t xml:space="preserve">Item</t>
  </si>
  <si>
    <t xml:space="preserve">Category</t>
  </si>
  <si>
    <t xml:space="preserve">Include (Y/N)</t>
  </si>
  <si>
    <t xml:space="preserve">Currency</t>
  </si>
  <si>
    <t xml:space="preserve">Low</t>
  </si>
  <si>
    <t xml:space="preserve">Expected</t>
  </si>
  <si>
    <t xml:space="preserve">High</t>
  </si>
  <si>
    <t xml:space="preserve">Low (€)</t>
  </si>
  <si>
    <t xml:space="preserve">Expected (€)</t>
  </si>
  <si>
    <t xml:space="preserve">High (€)</t>
  </si>
  <si>
    <t xml:space="preserve">Note / source</t>
  </si>
  <si>
    <t xml:space="preserve">Registration in the BCE (enterprise number) via a guichet d'entreprises</t>
  </si>
  <si>
    <t xml:space="preserve">Legal &amp; admin</t>
  </si>
  <si>
    <t xml:space="preserve">EUR</t>
  </si>
  <si>
    <t xml:space="preserve">2026 official fee, the same at every guichet. VAT activation through the guichet is included. Ask for the small-business VAT exemption (franchise) at the same time.</t>
  </si>
  <si>
    <t xml:space="preserve">Student self-employed status (étudiant-indépendant)</t>
  </si>
  <si>
    <t xml:space="preserve">Free: request it from your social insurance fund, with proof of enrolment every academic year (18–25 years old, at least 27 credits).</t>
  </si>
  <si>
    <t xml:space="preserve">VAT number activation</t>
  </si>
  <si>
    <t xml:space="preserve">Included in the BCE fee. Under the exemption you file no periodic VAT returns, only the special return for services bought abroad.</t>
  </si>
  <si>
    <t xml:space="preserve">Joining a social insurance fund (caisse d'assurances sociales)</t>
  </si>
  <si>
    <t xml:space="preserve">Free to join. The contributions are in 'Assumptions' and 'Projection'.</t>
  </si>
  <si>
    <t xml:space="preserve">Setting up a company (SRL) instead of working in your own name</t>
  </si>
  <si>
    <t xml:space="preserve">N</t>
  </si>
  <si>
    <t xml:space="preserve">Not compatible with the student self-employed status as a sole trader. Only for later, once profit passes the student limit.</t>
  </si>
  <si>
    <t xml:space="preserve">Benelux trademark 'Tsuji' (BOIP), classes 9 (software) + 41 (education)</t>
  </si>
  <si>
    <t xml:space="preserve">BOIP: €244 for the first class, €27 for each extra class. Valid 10 years. Check the fee on boip.int before filing.</t>
  </si>
  <si>
    <t xml:space="preserve">EU trademark (EUIPO), classes 9 + 41</t>
  </si>
  <si>
    <t xml:space="preserve">€850 + €50 for the second class. Covers the whole EU instead of Benelux only.</t>
  </si>
  <si>
    <t xml:space="preserve">Trademark clearance search / IP attorney</t>
  </si>
  <si>
    <t xml:space="preserve">'Tsuji' is a common Japanese surname. Check nobody already holds it in classes 9/41.</t>
  </si>
  <si>
    <t xml:space="preserve">Legal texts: terms of use, terms of sale, subscription and withdrawal terms</t>
  </si>
  <si>
    <t xml:space="preserve">EU consumer law: the 14-day withdrawal right, auto-renewal terms. public/privacy.html already exists.</t>
  </si>
  <si>
    <t xml:space="preserve">Accountant onboarding</t>
  </si>
  <si>
    <t xml:space="preserve">Some offices charge a set-up fee.</t>
  </si>
  <si>
    <t xml:space="preserve">Google Play developer registration</t>
  </si>
  <si>
    <t xml:space="preserve">Stores &amp; tech</t>
  </si>
  <si>
    <t xml:space="preserve">USD</t>
  </si>
  <si>
    <t xml:space="preserve">Paid once. (The Apple fee is yearly, so it is in 'Fixed costs'.)</t>
  </si>
  <si>
    <t xml:space="preserve">Mac for building and uploading the iOS app</t>
  </si>
  <si>
    <t xml:space="preserve">Only if you don't own one. Cloud macOS build services are the alternative.</t>
  </si>
  <si>
    <t xml:space="preserve">Test devices (a used iPhone and Android phone)</t>
  </si>
  <si>
    <t xml:space="preserve">First fill of the LLM pools (comprehension, exam papers, phrase cache)</t>
  </si>
  <si>
    <t xml:space="preserve">docs/llm-commercial-plan.md §5.4: every offline job run once ≈ $4.17.</t>
  </si>
  <si>
    <t xml:space="preserve">Payment integration (Stripe / RevenueCat)</t>
  </si>
  <si>
    <t xml:space="preserve">No set-up fee. The work is development time (HAS_STORE is still false).</t>
  </si>
  <si>
    <t xml:space="preserve">Voice licences (VOICEVOX Nemo, kana voice)</t>
  </si>
  <si>
    <t xml:space="preserve">Free, but you must credit 'VOICEVOX Nemo' (already done), and generated audio must never be used for machine learning.</t>
  </si>
  <si>
    <t xml:space="preserve">Launch marketing (ads, store screenshots, video)</t>
  </si>
  <si>
    <t xml:space="preserve">Marketing</t>
  </si>
  <si>
    <t xml:space="preserve">Optional. The landing page and its footage are self-made.</t>
  </si>
  <si>
    <t xml:space="preserve">Total – included items (Y)</t>
  </si>
  <si>
    <t xml:space="preserve">Total – every item, including optional</t>
  </si>
  <si>
    <t xml:space="preserve">Recurring fixed costs, by stage</t>
  </si>
  <si>
    <t xml:space="preserve">Amounts as billed (currency and period named) · € per month is calculated, adding the non-deductible VAT on services bought abroad · Include = Y counts in the totals.</t>
  </si>
  <si>
    <t xml:space="preserve">Billed per</t>
  </si>
  <si>
    <t xml:space="preserve">Launch</t>
  </si>
  <si>
    <t xml:space="preserve">Growth</t>
  </si>
  <si>
    <t xml:space="preserve">Scale</t>
  </si>
  <si>
    <t xml:space="preserve">Launch (€/mo)</t>
  </si>
  <si>
    <t xml:space="preserve">Growth (€/mo)</t>
  </si>
  <si>
    <t xml:space="preserve">Scale (€/mo)</t>
  </si>
  <si>
    <t xml:space="preserve">Render – backend (FastAPI web service)</t>
  </si>
  <si>
    <t xml:space="preserve">Hosting</t>
  </si>
  <si>
    <t xml:space="preserve">month</t>
  </si>
  <si>
    <t xml:space="preserve">render.yaml: plan 'starter' (512 MB, 0.5 CPU). Standard $25 (2 GB, 1 CPU), Pro $85 (4 GB, 2 CPU).</t>
  </si>
  <si>
    <t xml:space="preserve">Render – persistent disk (exam and dictation audio)</t>
  </si>
  <si>
    <t xml:space="preserve">$0.25 per GB per month. render.yaml: 1 GB → 5 GB → 20 GB.</t>
  </si>
  <si>
    <t xml:space="preserve">Render – VOICEVOX Nemo voice engine (private service)</t>
  </si>
  <si>
    <t xml:space="preserve">ADR 0019: Starter holds it (343 MB) but slowly; Standard halves the first-play wait.</t>
  </si>
  <si>
    <t xml:space="preserve">Render – workspace plan</t>
  </si>
  <si>
    <t xml:space="preserve">Hobby is free. Professional ($19 per member) for autoscaling and a second instance.</t>
  </si>
  <si>
    <t xml:space="preserve">Vercel – frontend and /api proxy</t>
  </si>
  <si>
    <t xml:space="preserve">The free Hobby plan is non-commercial only. A paid app needs Pro ($20 per member; 1 TB of traffic included).</t>
  </si>
  <si>
    <t xml:space="preserve">Supabase – Postgres database + authentication</t>
  </si>
  <si>
    <t xml:space="preserve">The free plan pauses after 7 idle days and has no backups. Pro $25 includes 100k MAU, 8 GB of disk and Micro compute; Small compute +$5, Medium +$50.</t>
  </si>
  <si>
    <t xml:space="preserve">Transactional e-mail for auth (sign-up confirmation, password reset)</t>
  </si>
  <si>
    <t xml:space="preserve">Supabase's built-in mail is for testing only (a few mails an hour). E.g. Resend: free for 3,000 a month (100 a day), $20 for 50,000.</t>
  </si>
  <si>
    <t xml:space="preserve">Error tracking and uptime monitoring</t>
  </si>
  <si>
    <t xml:space="preserve">Free plans are enough early. Sentry Team $26.</t>
  </si>
  <si>
    <t xml:space="preserve">LLM – offline jobs (refilling the comprehension pool, new exam papers)</t>
  </si>
  <si>
    <t xml:space="preserve">AI</t>
  </si>
  <si>
    <t xml:space="preserve">Not tied to any one user. §5.4: a full prewarm ≈ $4. Per-user LLM spend is in 'Unit economics'.</t>
  </si>
  <si>
    <t xml:space="preserve">Rotating residential proxy (fetching YouTube subtitles)</t>
  </si>
  <si>
    <t xml:space="preserve">Only if you switch the YouTube-link feature on (it is off today). Webshare Rotating Residential $3.50 per GB, ≈ 2,500 analyses per GB.</t>
  </si>
  <si>
    <t xml:space="preserve">Domain name (e.g. tsuji.app)</t>
  </si>
  <si>
    <t xml:space="preserve">Web</t>
  </si>
  <si>
    <t xml:space="preserve">year</t>
  </si>
  <si>
    <t xml:space="preserve">The app still runs on japanese-learner-seven.vercel.app. A .app domain costs ≈ $14–20 a year.</t>
  </si>
  <si>
    <t xml:space="preserve">Contact mailbox (contact@…)</t>
  </si>
  <si>
    <t xml:space="preserve">Free forwarding at first (e.g. Cloudflare Email Routing), then a real mailbox.</t>
  </si>
  <si>
    <t xml:space="preserve">Apple Developer Program</t>
  </si>
  <si>
    <t xml:space="preserve">Stores</t>
  </si>
  <si>
    <t xml:space="preserve">Needed to publish on the App Store and TestFlight.</t>
  </si>
  <si>
    <t xml:space="preserve">Accountant (fiduciaire)</t>
  </si>
  <si>
    <t xml:space="preserve">Business</t>
  </si>
  <si>
    <t xml:space="preserve">Launch: exempt from VAT, so only the annual accounts, the income tax return and the special return for services bought abroad. Growth/Scale: normal VAT registration, OSS and quarterly returns.</t>
  </si>
  <si>
    <t xml:space="preserve">Business bank account</t>
  </si>
  <si>
    <t xml:space="preserve">A self-employed person in Belgium must keep a separate professional account.</t>
  </si>
  <si>
    <t xml:space="preserve">Professional liability / cyber insurance</t>
  </si>
  <si>
    <t xml:space="preserve">Optional, but worth it once you hold paying users' data.</t>
  </si>
  <si>
    <t xml:space="preserve">Development tools (AI coding subscription, etc.)</t>
  </si>
  <si>
    <t xml:space="preserve">PLACEHOLDER: enter what you actually pay.</t>
  </si>
  <si>
    <t xml:space="preserve">Paid acquisition / ads</t>
  </si>
  <si>
    <t xml:space="preserve">Optional. Set it once you know your cost per install.</t>
  </si>
  <si>
    <t xml:space="preserve">Total per month – included items (Y)</t>
  </si>
  <si>
    <t xml:space="preserve">Total per year – included items (Y)</t>
  </si>
  <si>
    <t xml:space="preserve">Total per month – every item, including optional</t>
  </si>
  <si>
    <t xml:space="preserve">Stages: Launch below the Growth threshold, Growth from it, Scale from the Scale threshold (see Assumptions).</t>
  </si>
  <si>
    <t xml:space="preserve">Unit economics: what one subscriber brings in and costs, per month</t>
  </si>
  <si>
    <t xml:space="preserve">Annual plans are spread over 12 months · in-app and web sales are blended by the channel mix · VAT shown as if charged on the web too (the exemption is added back in 'Projection').</t>
  </si>
  <si>
    <t xml:space="preserve">List price incl. VAT (€)</t>
  </si>
  <si>
    <t xml:space="preserve">Months covered</t>
  </si>
  <si>
    <t xml:space="preserve">Charges per month</t>
  </si>
  <si>
    <t xml:space="preserve">Gross per month (€)</t>
  </si>
  <si>
    <t xml:space="preserve">VAT (€)</t>
  </si>
  <si>
    <t xml:space="preserve">Net of VAT (€)</t>
  </si>
  <si>
    <t xml:space="preserve">Store commission if sold in-app (€)</t>
  </si>
  <si>
    <t xml:space="preserve">Stripe fees if sold on web (€)</t>
  </si>
  <si>
    <t xml:space="preserve">Payment cost, blended (€)</t>
  </si>
  <si>
    <t xml:space="preserve">Net revenue (€)</t>
  </si>
  <si>
    <t xml:space="preserve">LLM, expected (€)</t>
  </si>
  <si>
    <t xml:space="preserve">Infrastructure (€)</t>
  </si>
  <si>
    <t xml:space="preserve">Contribution margin (€)</t>
  </si>
  <si>
    <t xml:space="preserve">Margin % of gross</t>
  </si>
  <si>
    <t xml:space="preserve">LLM, worst case (€)</t>
  </si>
  <si>
    <t xml:space="preserve">Margin, worst case (€)</t>
  </si>
  <si>
    <t xml:space="preserve">Discount vs monthly</t>
  </si>
  <si>
    <t xml:space="preserve">Blended by each plan's annual share (Assumptions)</t>
  </si>
  <si>
    <t xml:space="preserve">Blended</t>
  </si>
  <si>
    <t xml:space="preserve">All payers</t>
  </si>
  <si>
    <t xml:space="preserve">Where Pro annual is bought: what you keep of €59.99-type prices</t>
  </si>
  <si>
    <t xml:space="preserve">Channel</t>
  </si>
  <si>
    <t xml:space="preserve">Price (€/yr)</t>
  </si>
  <si>
    <t xml:space="preserve">Commission / fees (€)</t>
  </si>
  <si>
    <t xml:space="preserve">You keep (€/yr)</t>
  </si>
  <si>
    <t xml:space="preserve">Share kept</t>
  </si>
  <si>
    <t xml:space="preserve">In-app (store)</t>
  </si>
  <si>
    <t xml:space="preserve">Web, VAT registered</t>
  </si>
  <si>
    <t xml:space="preserve">Web, VAT-exempt (franchise)</t>
  </si>
  <si>
    <t xml:space="preserve">Break-even (the result before social contributions and income tax)</t>
  </si>
  <si>
    <t xml:space="preserve">Stage</t>
  </si>
  <si>
    <t xml:space="preserve">Fixed costs (€/mo)</t>
  </si>
  <si>
    <t xml:space="preserve">Active users needed</t>
  </si>
  <si>
    <t xml:space="preserve">Conservative: counts VAT on web sales. While the VAT exemption applies you keep more, so break-even comes sooner (see 'Projection').</t>
  </si>
  <si>
    <t xml:space="preserve">What a free user costs per month (€)</t>
  </si>
  <si>
    <t xml:space="preserve">Cost and result by number of active users (steady month)</t>
  </si>
  <si>
    <t xml:space="preserve">Row 5 is an input: change the active-user figures · every other row is calculated.</t>
  </si>
  <si>
    <t xml:space="preserve">Per month</t>
  </si>
  <si>
    <t xml:space="preserve">Scenario 1</t>
  </si>
  <si>
    <t xml:space="preserve">Scenario 2</t>
  </si>
  <si>
    <t xml:space="preserve">Scenario 3</t>
  </si>
  <si>
    <t xml:space="preserve">Scenario 4</t>
  </si>
  <si>
    <t xml:space="preserve">Scenario 5</t>
  </si>
  <si>
    <t xml:space="preserve">Scenario 6</t>
  </si>
  <si>
    <t xml:space="preserve">Scenario 7</t>
  </si>
  <si>
    <t xml:space="preserve">Scenario 8</t>
  </si>
  <si>
    <t xml:space="preserve">Monthly active users (MAU)</t>
  </si>
  <si>
    <t xml:space="preserve">Stage (1 Launch · 2 Growth · 3 Scale)</t>
  </si>
  <si>
    <t xml:space="preserve">Free users</t>
  </si>
  <si>
    <t xml:space="preserve">Pro subscribers</t>
  </si>
  <si>
    <t xml:space="preserve">Max subscribers</t>
  </si>
  <si>
    <t xml:space="preserve">Paying users, total</t>
  </si>
  <si>
    <t xml:space="preserve">REVENUE</t>
  </si>
  <si>
    <t xml:space="preserve">Gross billings incl. VAT</t>
  </si>
  <si>
    <t xml:space="preserve">− VAT (paid to the state, or kept by the store)</t>
  </si>
  <si>
    <t xml:space="preserve">+ VAT not charged on web sales (exemption)</t>
  </si>
  <si>
    <t xml:space="preserve">− Store commission and payment fees</t>
  </si>
  <si>
    <t xml:space="preserve">Net revenue</t>
  </si>
  <si>
    <t xml:space="preserve">VAT EXEMPTION CHECK</t>
  </si>
  <si>
    <t xml:space="preserve">Turnover per year (excl. VAT)</t>
  </si>
  <si>
    <t xml:space="preserve">Web sales to other EU countries per year</t>
  </si>
  <si>
    <t xml:space="preserve">Exemption applies? (1 = yes)</t>
  </si>
  <si>
    <t xml:space="preserve">COSTS</t>
  </si>
  <si>
    <t xml:space="preserve">LLM, expected</t>
  </si>
  <si>
    <t xml:space="preserve">Variable infrastructure</t>
  </si>
  <si>
    <t xml:space="preserve">Fixed costs (by stage)</t>
  </si>
  <si>
    <t xml:space="preserve">Total operating costs</t>
  </si>
  <si>
    <t xml:space="preserve">RESULT</t>
  </si>
  <si>
    <t xml:space="preserve">Operating result (before social contributions)</t>
  </si>
  <si>
    <t xml:space="preserve">Profit per year (basis for social contributions)</t>
  </si>
  <si>
    <t xml:space="preserve">Social contributions, student self-employed</t>
  </si>
  <si>
    <t xml:space="preserve">Result after social contributions (before income tax)</t>
  </si>
  <si>
    <t xml:space="preserve">Result over 12 months</t>
  </si>
  <si>
    <t xml:space="preserve">Still within the student status? (profit &lt; limit)</t>
  </si>
  <si>
    <t xml:space="preserve">COST PER USER</t>
  </si>
  <si>
    <t xml:space="preserve">Total cost per active user</t>
  </si>
  <si>
    <t xml:space="preserve">Total cost per paying user</t>
  </si>
  <si>
    <t xml:space="preserve">Net revenue per paying user</t>
  </si>
  <si>
    <t xml:space="preserve">Variable cost of one free user</t>
  </si>
  <si>
    <t xml:space="preserve">Operating margin (% of net revenue)</t>
  </si>
  <si>
    <t xml:space="preserve">STRESS TEST</t>
  </si>
  <si>
    <t xml:space="preserve">LLM if every payer hits the worst case</t>
  </si>
  <si>
    <t xml:space="preserve">Operating result, worst-case LLM</t>
  </si>
  <si>
    <t xml:space="preserve">Social contributions follow the 2026 student self-employed rules: nothing up to €8,687 of yearly profit, 20.5% of the part above it, and full-time rates (minimum €925.59 a quarter) from €17,374.</t>
  </si>
  <si>
    <t xml:space="preserve">Once the exemption stops applying (turnover over €25,000, or over €10,000 of web sales abroad), you must register for VAT normally: then set 'VAT you pay on services bought abroad' to 0%.</t>
  </si>
  <si>
    <t xml:space="preserve">Steady-state snapshot: churn, growth over time and trials are not modelled. Income tax is not included.</t>
  </si>
  <si>
    <t xml:space="preserve">The offer as decided, compared with the code today</t>
  </si>
  <si>
    <t xml:space="preserve">'Today in the code' = the limits currently set in the repository (backend/core/credits.py, routes/*).</t>
  </si>
  <si>
    <t xml:space="preserve">Feature</t>
  </si>
  <si>
    <t xml:space="preserve">Free</t>
  </si>
  <si>
    <t xml:space="preserve">Today in the code</t>
  </si>
  <si>
    <t xml:space="preserve">Status / what to build</t>
  </si>
  <si>
    <t xml:space="preserve">Price</t>
  </si>
  <si>
    <t xml:space="preserve">€0</t>
  </si>
  <si>
    <t xml:space="preserve">€8.99 / month · €59.99 / year</t>
  </si>
  <si>
    <t xml:space="preserve">€14.99 / month · €99.99 / year</t>
  </si>
  <si>
    <t xml:space="preserve">No purchase flow yet (HAS_STORE = false); credits not enforced yet (CREDITS_ENFORCE unset).</t>
  </si>
  <si>
    <t xml:space="preserve">Proposed on the 'Pricing' sheet.</t>
  </si>
  <si>
    <t xml:space="preserve">Name</t>
  </si>
  <si>
    <t xml:space="preserve">The code says 'pass'.</t>
  </si>
  <si>
    <r>
      <rPr>
        <sz val="11"/>
        <rFont val="Arial"/>
        <family val="0"/>
        <charset val="1"/>
      </rPr>
      <t xml:space="preserve">Decided: 'Unlimited' renamed. Alternatives on the rail theme: 'Green' (</t>
    </r>
    <r>
      <rPr>
        <sz val="11"/>
        <rFont val="WenQuanYi Zen Hei"/>
        <family val="2"/>
      </rPr>
      <t xml:space="preserve">グリーン車</t>
    </r>
    <r>
      <rPr>
        <sz val="11"/>
        <rFont val="Arial"/>
        <family val="0"/>
        <charset val="1"/>
      </rPr>
      <t xml:space="preserve">, JR's first class) or 'Shinkansen'.</t>
    </r>
  </si>
  <si>
    <t xml:space="preserve">Learning (kana, vocab, kanji, grammar reviews)</t>
  </si>
  <si>
    <t xml:space="preserve">Up to N3, 1 credit a review, kana free</t>
  </si>
  <si>
    <t xml:space="preserve">All levels, no credits</t>
  </si>
  <si>
    <t xml:space="preserve">Every level open to everyone; 1 credit a review; kana free.</t>
  </si>
  <si>
    <t xml:space="preserve">To build: the N3 limit for Free.</t>
  </si>
  <si>
    <t xml:space="preserve">Welcome bonus</t>
  </si>
  <si>
    <t xml:space="preserve">200 credits</t>
  </si>
  <si>
    <t xml:space="preserve">200 credits at sign-up for everyone.</t>
  </si>
  <si>
    <t xml:space="preserve">Decided. Pay it once per account, so upgrading doesn't pay it twice.</t>
  </si>
  <si>
    <t xml:space="preserve">Daily credits</t>
  </si>
  <si>
    <t xml:space="preserve">30 a day, max 50</t>
  </si>
  <si>
    <t xml:space="preserve">None needed</t>
  </si>
  <si>
    <t xml:space="preserve">30 a day, 1 every 48 min, max 50.</t>
  </si>
  <si>
    <t xml:space="preserve">Pro spends its credits on practice, chatbot questions and mock exams.</t>
  </si>
  <si>
    <t xml:space="preserve">Practice (reading, translation, dictation, comprehension, composition)</t>
  </si>
  <si>
    <t xml:space="preserve">1 credit a play</t>
  </si>
  <si>
    <t xml:space="preserve">Included</t>
  </si>
  <si>
    <t xml:space="preserve">Pass only; practice never spends credits.</t>
  </si>
  <si>
    <t xml:space="preserve">To build: charge 1 credit per play for Pro.</t>
  </si>
  <si>
    <t xml:space="preserve">Mock exam</t>
  </si>
  <si>
    <t xml:space="preserve">1 credit</t>
  </si>
  <si>
    <t xml:space="preserve">Pass only.</t>
  </si>
  <si>
    <t xml:space="preserve">Decided: 1 credit, a deliberate bargain. Exam papers are shared, so this costs little.</t>
  </si>
  <si>
    <t xml:space="preserve">Explain button</t>
  </si>
  <si>
    <t xml:space="preserve">Decided: free. Its LLM call is mostly served from the phrase cache.</t>
  </si>
  <si>
    <r>
      <rPr>
        <b val="true"/>
        <sz val="11"/>
        <rFont val="Arial"/>
        <family val="0"/>
        <charset val="1"/>
      </rPr>
      <t xml:space="preserve">Chatbot (</t>
    </r>
    <r>
      <rPr>
        <b val="true"/>
        <sz val="11"/>
        <rFont val="WenQuanYi Zen Hei"/>
        <family val="2"/>
      </rPr>
      <t xml:space="preserve">問</t>
    </r>
    <r>
      <rPr>
        <b val="true"/>
        <sz val="11"/>
        <rFont val="Arial"/>
        <family val="0"/>
        <charset val="1"/>
      </rPr>
      <t xml:space="preserve">, questions after a graded exercise)</t>
    </r>
  </si>
  <si>
    <t xml:space="preserve">1 credit a question</t>
  </si>
  <si>
    <t xml:space="preserve">Included (40 a day)</t>
  </si>
  <si>
    <t xml:space="preserve">Pass only, 40 a day (ASK_DAILY_LIMIT).</t>
  </si>
  <si>
    <t xml:space="preserve">To build: charge 1 credit per question for Pro.</t>
  </si>
  <si>
    <t xml:space="preserve">Analyser (text, photo, video)</t>
  </si>
  <si>
    <t xml:space="preserve">Yes, 30 in history</t>
  </si>
  <si>
    <t xml:space="preserve">Yes, e.g. 100 in history</t>
  </si>
  <si>
    <t xml:space="preserve">Pass only; history 30 for everyone (core/history.py).</t>
  </si>
  <si>
    <t xml:space="preserve">Pick Max's history number.</t>
  </si>
  <si>
    <t xml:space="preserve">Decks</t>
  </si>
  <si>
    <t xml:space="preserve">10 decks × 200 cards</t>
  </si>
  <si>
    <t xml:space="preserve">30 decks × 400 cards</t>
  </si>
  <si>
    <t xml:space="preserve">e.g. 100 × 10,000</t>
  </si>
  <si>
    <t xml:space="preserve">Free 7 / 200; pass 100 / 10,000.</t>
  </si>
  <si>
    <t xml:space="preserve">Max figure proposed = today's pass limits.</t>
  </si>
  <si>
    <t xml:space="preserve">Dictionary favourites</t>
  </si>
  <si>
    <t xml:space="preserve">30</t>
  </si>
  <si>
    <t xml:space="preserve">100</t>
  </si>
  <si>
    <t xml:space="preserve">e.g. 500</t>
  </si>
  <si>
    <t xml:space="preserve">500 for everyone (MAX_FAVORITES).</t>
  </si>
  <si>
    <t xml:space="preserve">Max figure proposed = today's limit.</t>
  </si>
  <si>
    <t xml:space="preserve">Deck library (publish / follow)</t>
  </si>
  <si>
    <t xml:space="preserve">Yes</t>
  </si>
  <si>
    <t xml:space="preserve">Open to everyone.</t>
  </si>
  <si>
    <t xml:space="preserve">Decided: everyone.</t>
  </si>
  <si>
    <t xml:space="preserve">Downgrade</t>
  </si>
  <si>
    <t xml:space="preserve">Grace period, then over-limit decks and favourites deleted</t>
  </si>
  <si>
    <t xml:space="preserve">Same</t>
  </si>
  <si>
    <t xml:space="preserve">Deck CSV export exists (GET /api/decks/{id}/export), plus the full progress export.</t>
  </si>
  <si>
    <t xml:space="preserve">Decided. Cards already started can still be reviewed. To build: the grace period and its warnings.</t>
  </si>
  <si>
    <t xml:space="preserve">Daily safety caps (LLM)</t>
  </si>
  <si>
    <t xml:space="preserve">Through credits</t>
  </si>
  <si>
    <t xml:space="preserve">Fair-use caps</t>
  </si>
  <si>
    <t xml:space="preserve">Photos 20, new comprehension texts 10, composition 30, questions 40, YouTube fetches 10.</t>
  </si>
  <si>
    <t xml:space="preserve">Publish them as a fair-use policy for Max.</t>
  </si>
  <si>
    <t xml:space="preserve">Still to decide</t>
  </si>
  <si>
    <t xml:space="preserve">Grace period length. Suggestion: 60 days, with reminders at 30, 7 and 1 day. Meanwhile, block adding cards to a deck that's over the limit.</t>
  </si>
  <si>
    <t xml:space="preserve">Reviews after a downgrade. A Free user reviewing N2/N1 cards they had started: does each review cost 1 credit like any other? (Assumed yes.)</t>
  </si>
  <si>
    <t xml:space="preserve">Favourites over 30 after the grace period: delete the newest ones and keep the oldest 30, or let the user choose which to keep?</t>
  </si>
  <si>
    <t xml:space="preserve">Legal texts: the 14-day withdrawal right (waived when the user starts using the content, with their consent), renewal reminders for annual plans, and a one-click way to cancel.</t>
  </si>
  <si>
    <t xml:space="preserve">Buying credits. Can a Free or Pro user who runs out buy a credit pack? It would be another source of revenue, and a first step towards buying Pro.</t>
  </si>
  <si>
    <t xml:space="preserve">Prices in other currencies (¥, $, CHF, CAD) for the stores.</t>
  </si>
  <si>
    <t xml:space="preserve">Student status and your family: income from the activity can change whether you're still a dependent for tax, and your family allowance (allocations familiales). The rules depend on your region, so check with your fund.</t>
  </si>
  <si>
    <t xml:space="preserve">Past €17,374 of profit a year you pay full-time rates. Past €25,000 of turnover, or €10,000 of web sales abroad, you must register for VAT normally. The 'Projection' sheet flags both.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</si>
</sst>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€#,##0.00;&quot;(€&quot;#,##0.00\);\-"/>
    <numFmt numFmtId="166" formatCode="#,##0;\(#,##0\);\-"/>
    <numFmt numFmtId="167" formatCode="\€#,##0;&quot;(€&quot;#,##0\);\-"/>
    <numFmt numFmtId="168" formatCode="0"/>
    <numFmt numFmtId="169" formatCode="@"/>
    <numFmt numFmtId="170" formatCode="0.00"/>
    <numFmt numFmtId="171" formatCode="0.0%;\(0.0%\);\-"/>
    <numFmt numFmtId="172" formatCode="\$#,##0.00;&quot;($&quot;#,##0.00\);\-"/>
    <numFmt numFmtId="173" formatCode="#,##0.00"/>
    <numFmt numFmtId="174" formatCode="0.0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name val="WenQuanYi Zen Hei"/>
      <family val="2"/>
    </font>
    <font>
      <b val="true"/>
      <sz val="11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DCE6F1"/>
        <bgColor rgb="FFD9D9D9"/>
      </patternFill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0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2F2F2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revenue vs total costs (€/month)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Projection!A17</c:f>
              <c:strCache>
                <c:ptCount val="1"/>
                <c:pt idx="0">
                  <c:v>Net revenue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Projection!$B$5:$I$5</c:f>
              <c:strCache>
                <c:ptCount val="8"/>
                <c:pt idx="0">
                  <c:v>100</c:v>
                </c:pt>
                <c:pt idx="1">
                  <c:v>500</c:v>
                </c:pt>
                <c:pt idx="2">
                  <c:v>1,000</c:v>
                </c:pt>
                <c:pt idx="3">
                  <c:v>2,500</c:v>
                </c:pt>
                <c:pt idx="4">
                  <c:v>5,000</c:v>
                </c:pt>
                <c:pt idx="5">
                  <c:v>10,000</c:v>
                </c:pt>
                <c:pt idx="6">
                  <c:v>25,000</c:v>
                </c:pt>
                <c:pt idx="7">
                  <c:v>50,000</c:v>
                </c:pt>
              </c:strCache>
            </c:strRef>
          </c:cat>
          <c:val>
            <c:numRef>
              <c:f>Projection!$B$17:$I$17</c:f>
              <c:numCache>
                <c:formatCode>\€#,##0.00;"(€"#,##0.00\);\-</c:formatCode>
                <c:ptCount val="8"/>
                <c:pt idx="0">
                  <c:v>34.6883150829201</c:v>
                </c:pt>
                <c:pt idx="1">
                  <c:v>163.441740061432</c:v>
                </c:pt>
                <c:pt idx="2">
                  <c:v>321.883562446281</c:v>
                </c:pt>
                <c:pt idx="3">
                  <c:v>807.208864953995</c:v>
                </c:pt>
                <c:pt idx="4">
                  <c:v>1609.41781223141</c:v>
                </c:pt>
                <c:pt idx="5">
                  <c:v>2941.99661619835</c:v>
                </c:pt>
                <c:pt idx="6">
                  <c:v>7354.99154049587</c:v>
                </c:pt>
                <c:pt idx="7">
                  <c:v>14709.9830809917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Projection!A28</c:f>
              <c:strCache>
                <c:ptCount val="1"/>
                <c:pt idx="0">
                  <c:v>Total operating costs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Projection!$B$5:$I$5</c:f>
              <c:strCache>
                <c:ptCount val="8"/>
                <c:pt idx="0">
                  <c:v>100</c:v>
                </c:pt>
                <c:pt idx="1">
                  <c:v>500</c:v>
                </c:pt>
                <c:pt idx="2">
                  <c:v>1,000</c:v>
                </c:pt>
                <c:pt idx="3">
                  <c:v>2,500</c:v>
                </c:pt>
                <c:pt idx="4">
                  <c:v>5,000</c:v>
                </c:pt>
                <c:pt idx="5">
                  <c:v>10,000</c:v>
                </c:pt>
                <c:pt idx="6">
                  <c:v>25,000</c:v>
                </c:pt>
                <c:pt idx="7">
                  <c:v>50,000</c:v>
                </c:pt>
              </c:strCache>
            </c:strRef>
          </c:cat>
          <c:val>
            <c:numRef>
              <c:f>Projection!$B$28:$I$28</c:f>
              <c:numCache>
                <c:formatCode>\€#,##0.00;"(€"#,##0.00\);\-</c:formatCode>
                <c:ptCount val="8"/>
                <c:pt idx="0">
                  <c:v>235.605124</c:v>
                </c:pt>
                <c:pt idx="1">
                  <c:v>246.713896</c:v>
                </c:pt>
                <c:pt idx="2">
                  <c:v>260.45438</c:v>
                </c:pt>
                <c:pt idx="3">
                  <c:v>424.896756</c:v>
                </c:pt>
                <c:pt idx="4">
                  <c:v>494.1811</c:v>
                </c:pt>
                <c:pt idx="5">
                  <c:v>633.04075</c:v>
                </c:pt>
                <c:pt idx="6">
                  <c:v>1430.87495</c:v>
                </c:pt>
                <c:pt idx="7">
                  <c:v>2125.1732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5416840"/>
        <c:axId val="21256931"/>
      </c:lineChart>
      <c:catAx>
        <c:axId val="854168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Active users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256931"/>
        <c:crosses val="autoZero"/>
        <c:auto val="1"/>
        <c:lblAlgn val="ctr"/>
        <c:lblOffset val="100"/>
        <c:noMultiLvlLbl val="0"/>
      </c:catAx>
      <c:valAx>
        <c:axId val="212569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 / 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€#,##0.00;&quot;(€&quot;#,##0.0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41684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51</xdr:row>
      <xdr:rowOff>160920</xdr:rowOff>
    </xdr:from>
    <xdr:to>
      <xdr:col>3</xdr:col>
      <xdr:colOff>630000</xdr:colOff>
      <xdr:row>68</xdr:row>
      <xdr:rowOff>162000</xdr:rowOff>
    </xdr:to>
    <xdr:graphicFrame>
      <xdr:nvGraphicFramePr>
        <xdr:cNvPr id="0" name="Chart 1"/>
        <xdr:cNvGraphicFramePr/>
      </xdr:nvGraphicFramePr>
      <xdr:xfrm>
        <a:off x="0" y="990612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9" min="2" style="0" width="13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5" t="s">
        <v>3</v>
      </c>
      <c r="B5" s="6" t="n">
        <f aca="false">Assumptions!$B$10</f>
        <v>8.99</v>
      </c>
      <c r="C5" s="6" t="n">
        <f aca="false">Assumptions!$B$11</f>
        <v>59.99</v>
      </c>
    </row>
    <row r="6" customFormat="false" ht="15" hidden="false" customHeight="false" outlineLevel="0" collapsed="false">
      <c r="A6" s="5" t="s">
        <v>4</v>
      </c>
      <c r="B6" s="6" t="n">
        <f aca="false">Assumptions!$B$12</f>
        <v>14.99</v>
      </c>
      <c r="C6" s="6" t="n">
        <f aca="false">Assumptions!$B$13</f>
        <v>99.99</v>
      </c>
    </row>
    <row r="8" customFormat="false" ht="15" hidden="false" customHeight="false" outlineLevel="0" collapsed="false">
      <c r="A8" s="3" t="s">
        <v>5</v>
      </c>
      <c r="B8" s="4"/>
    </row>
    <row r="9" customFormat="false" ht="15" hidden="false" customHeight="false" outlineLevel="0" collapsed="false">
      <c r="A9" s="7" t="s">
        <v>6</v>
      </c>
      <c r="B9" s="8" t="n">
        <f aca="false">'Start-up costs'!$I$23</f>
        <v>963.718</v>
      </c>
    </row>
    <row r="10" customFormat="false" ht="15" hidden="false" customHeight="false" outlineLevel="0" collapsed="false">
      <c r="A10" s="5" t="s">
        <v>7</v>
      </c>
      <c r="B10" s="6" t="n">
        <f aca="false">'Start-up costs'!$I$24</f>
        <v>3713.718</v>
      </c>
    </row>
    <row r="12" customFormat="false" ht="15" hidden="false" customHeight="false" outlineLevel="0" collapsed="false">
      <c r="A12" s="3" t="s">
        <v>8</v>
      </c>
      <c r="B12" s="4"/>
    </row>
    <row r="13" customFormat="false" ht="15" hidden="false" customHeight="false" outlineLevel="0" collapsed="false">
      <c r="A13" s="7" t="s">
        <v>9</v>
      </c>
      <c r="B13" s="8" t="n">
        <f aca="false">'Fixed costs'!$I$24</f>
        <v>232.68245</v>
      </c>
    </row>
    <row r="14" customFormat="false" ht="15" hidden="false" customHeight="false" outlineLevel="0" collapsed="false">
      <c r="A14" s="5" t="s">
        <v>10</v>
      </c>
      <c r="B14" s="6" t="n">
        <f aca="false">'Fixed costs'!$J$24</f>
        <v>355.32145</v>
      </c>
    </row>
    <row r="15" customFormat="false" ht="15" hidden="false" customHeight="false" outlineLevel="0" collapsed="false">
      <c r="A15" s="5" t="s">
        <v>11</v>
      </c>
      <c r="B15" s="6" t="n">
        <f aca="false">'Fixed costs'!$K$24</f>
        <v>736.5767</v>
      </c>
    </row>
    <row r="16" customFormat="false" ht="15" hidden="false" customHeight="false" outlineLevel="0" collapsed="false">
      <c r="A16" s="7" t="s">
        <v>12</v>
      </c>
      <c r="B16" s="8" t="n">
        <f aca="false">'Start-up costs'!$I$23+12*'Fixed costs'!$I$24</f>
        <v>3755.9074</v>
      </c>
    </row>
    <row r="18" customFormat="false" ht="15" hidden="false" customHeight="false" outlineLevel="0" collapsed="false">
      <c r="A18" s="3" t="s">
        <v>13</v>
      </c>
      <c r="B18" s="4"/>
    </row>
    <row r="19" customFormat="false" ht="15" hidden="false" customHeight="false" outlineLevel="0" collapsed="false">
      <c r="A19" s="5" t="s">
        <v>14</v>
      </c>
      <c r="B19" s="6" t="n">
        <f aca="false">'Unit economics'!$O$11</f>
        <v>4.2687912137741</v>
      </c>
    </row>
    <row r="20" customFormat="false" ht="15" hidden="false" customHeight="false" outlineLevel="0" collapsed="false">
      <c r="A20" s="5" t="s">
        <v>15</v>
      </c>
      <c r="B20" s="6" t="n">
        <f aca="false">'Unit economics'!$O$12</f>
        <v>8.3782127</v>
      </c>
    </row>
    <row r="21" customFormat="false" ht="15" hidden="false" customHeight="false" outlineLevel="0" collapsed="false">
      <c r="A21" s="7" t="s">
        <v>16</v>
      </c>
      <c r="B21" s="8" t="n">
        <f aca="false">'Unit economics'!$O$13</f>
        <v>5.01595875672427</v>
      </c>
    </row>
    <row r="22" customFormat="false" ht="15" hidden="false" customHeight="false" outlineLevel="0" collapsed="false">
      <c r="A22" s="5" t="s">
        <v>17</v>
      </c>
      <c r="B22" s="6" t="n">
        <f aca="false">'Unit economics'!$R$13</f>
        <v>3.59128275672427</v>
      </c>
    </row>
    <row r="23" customFormat="false" ht="15" hidden="false" customHeight="false" outlineLevel="0" collapsed="false">
      <c r="A23" s="5" t="s">
        <v>18</v>
      </c>
      <c r="B23" s="6" t="n">
        <f aca="false">'Unit economics'!$C$29</f>
        <v>0.01</v>
      </c>
    </row>
    <row r="25" customFormat="false" ht="15" hidden="false" customHeight="false" outlineLevel="0" collapsed="false">
      <c r="A25" s="3" t="s">
        <v>19</v>
      </c>
      <c r="B25" s="4"/>
    </row>
    <row r="26" customFormat="false" ht="15" hidden="false" customHeight="false" outlineLevel="0" collapsed="false">
      <c r="A26" s="7" t="s">
        <v>20</v>
      </c>
      <c r="B26" s="9" t="n">
        <f aca="false">'Unit economics'!$D$23</f>
        <v>47</v>
      </c>
    </row>
    <row r="27" customFormat="false" ht="15" hidden="false" customHeight="false" outlineLevel="0" collapsed="false">
      <c r="A27" s="7" t="s">
        <v>21</v>
      </c>
      <c r="B27" s="9" t="n">
        <f aca="false">'Unit economics'!$E$23</f>
        <v>855</v>
      </c>
    </row>
    <row r="29" customFormat="false" ht="15" hidden="false" customHeight="false" outlineLevel="0" collapsed="false">
      <c r="A29" s="3" t="s">
        <v>22</v>
      </c>
      <c r="B29" s="4"/>
    </row>
    <row r="30" customFormat="false" ht="15" hidden="false" customHeight="false" outlineLevel="0" collapsed="false">
      <c r="A30" s="7" t="s">
        <v>23</v>
      </c>
      <c r="B30" s="9" t="n">
        <f aca="false">Projection!B5</f>
        <v>100</v>
      </c>
      <c r="C30" s="9" t="n">
        <f aca="false">Projection!C5</f>
        <v>500</v>
      </c>
      <c r="D30" s="9" t="n">
        <f aca="false">Projection!D5</f>
        <v>1000</v>
      </c>
      <c r="E30" s="9" t="n">
        <f aca="false">Projection!E5</f>
        <v>2500</v>
      </c>
      <c r="F30" s="9" t="n">
        <f aca="false">Projection!F5</f>
        <v>5000</v>
      </c>
      <c r="G30" s="9" t="n">
        <f aca="false">Projection!G5</f>
        <v>10000</v>
      </c>
      <c r="H30" s="9" t="n">
        <f aca="false">Projection!H5</f>
        <v>25000</v>
      </c>
      <c r="I30" s="9" t="n">
        <f aca="false">Projection!I5</f>
        <v>50000</v>
      </c>
    </row>
    <row r="31" customFormat="false" ht="15" hidden="false" customHeight="false" outlineLevel="0" collapsed="false">
      <c r="A31" s="5" t="s">
        <v>24</v>
      </c>
      <c r="B31" s="10" t="n">
        <f aca="false">Projection!B17</f>
        <v>34.6883150829201</v>
      </c>
      <c r="C31" s="10" t="n">
        <f aca="false">Projection!C17</f>
        <v>163.441740061432</v>
      </c>
      <c r="D31" s="10" t="n">
        <f aca="false">Projection!D17</f>
        <v>321.883562446281</v>
      </c>
      <c r="E31" s="10" t="n">
        <f aca="false">Projection!E17</f>
        <v>807.208864953995</v>
      </c>
      <c r="F31" s="10" t="n">
        <f aca="false">Projection!F17</f>
        <v>1609.41781223141</v>
      </c>
      <c r="G31" s="10" t="n">
        <f aca="false">Projection!G17</f>
        <v>2941.99661619835</v>
      </c>
      <c r="H31" s="10" t="n">
        <f aca="false">Projection!H17</f>
        <v>7354.99154049587</v>
      </c>
      <c r="I31" s="10" t="n">
        <f aca="false">Projection!I17</f>
        <v>14709.9830809917</v>
      </c>
    </row>
    <row r="32" customFormat="false" ht="15" hidden="false" customHeight="false" outlineLevel="0" collapsed="false">
      <c r="A32" s="5" t="s">
        <v>25</v>
      </c>
      <c r="B32" s="10" t="n">
        <f aca="false">Projection!B28</f>
        <v>235.605124</v>
      </c>
      <c r="C32" s="10" t="n">
        <f aca="false">Projection!C28</f>
        <v>246.713896</v>
      </c>
      <c r="D32" s="10" t="n">
        <f aca="false">Projection!D28</f>
        <v>260.45438</v>
      </c>
      <c r="E32" s="10" t="n">
        <f aca="false">Projection!E28</f>
        <v>424.896756</v>
      </c>
      <c r="F32" s="10" t="n">
        <f aca="false">Projection!F28</f>
        <v>494.1811</v>
      </c>
      <c r="G32" s="10" t="n">
        <f aca="false">Projection!G28</f>
        <v>633.04075</v>
      </c>
      <c r="H32" s="10" t="n">
        <f aca="false">Projection!H28</f>
        <v>1430.87495</v>
      </c>
      <c r="I32" s="10" t="n">
        <f aca="false">Projection!I28</f>
        <v>2125.1732</v>
      </c>
    </row>
    <row r="33" customFormat="false" ht="15" hidden="false" customHeight="false" outlineLevel="0" collapsed="false">
      <c r="A33" s="5" t="s">
        <v>26</v>
      </c>
      <c r="B33" s="10" t="n">
        <f aca="false">Projection!B33</f>
        <v>0</v>
      </c>
      <c r="C33" s="10" t="n">
        <f aca="false">Projection!C33</f>
        <v>0</v>
      </c>
      <c r="D33" s="10" t="n">
        <f aca="false">Projection!D33</f>
        <v>0</v>
      </c>
      <c r="E33" s="10" t="n">
        <f aca="false">Projection!E33</f>
        <v>0</v>
      </c>
      <c r="F33" s="10" t="n">
        <f aca="false">Projection!F33</f>
        <v>80.219926007438</v>
      </c>
      <c r="G33" s="10" t="n">
        <f aca="false">Projection!G33</f>
        <v>473.335952570661</v>
      </c>
      <c r="H33" s="10" t="n">
        <f aca="false">Projection!H33</f>
        <v>1214.44390105165</v>
      </c>
      <c r="I33" s="10" t="n">
        <f aca="false">Projection!I33</f>
        <v>2579.88602560331</v>
      </c>
    </row>
    <row r="34" customFormat="false" ht="15" hidden="false" customHeight="false" outlineLevel="0" collapsed="false">
      <c r="A34" s="5" t="s">
        <v>27</v>
      </c>
      <c r="B34" s="10" t="n">
        <f aca="false">Projection!B34</f>
        <v>-200.91680891708</v>
      </c>
      <c r="C34" s="10" t="n">
        <f aca="false">Projection!C34</f>
        <v>-83.2721559385675</v>
      </c>
      <c r="D34" s="10" t="n">
        <f aca="false">Projection!D34</f>
        <v>61.429182446281</v>
      </c>
      <c r="E34" s="10" t="n">
        <f aca="false">Projection!E34</f>
        <v>382.312108953995</v>
      </c>
      <c r="F34" s="10" t="n">
        <f aca="false">Projection!F34</f>
        <v>1035.01678622397</v>
      </c>
      <c r="G34" s="10" t="n">
        <f aca="false">Projection!G34</f>
        <v>1835.61991362769</v>
      </c>
      <c r="H34" s="10" t="n">
        <f aca="false">Projection!H34</f>
        <v>4709.67268944422</v>
      </c>
      <c r="I34" s="10" t="n">
        <f aca="false">Projection!I34</f>
        <v>10004.9238553884</v>
      </c>
    </row>
    <row r="35" customFormat="false" ht="15" hidden="false" customHeight="false" outlineLevel="0" collapsed="false">
      <c r="A35" s="5" t="s">
        <v>28</v>
      </c>
      <c r="B35" s="11" t="n">
        <f aca="false">Projection!B22</f>
        <v>1</v>
      </c>
      <c r="C35" s="11" t="n">
        <f aca="false">Projection!C22</f>
        <v>1</v>
      </c>
      <c r="D35" s="11" t="n">
        <f aca="false">Projection!D22</f>
        <v>1</v>
      </c>
      <c r="E35" s="11" t="n">
        <f aca="false">Projection!E22</f>
        <v>1</v>
      </c>
      <c r="F35" s="11" t="n">
        <f aca="false">Projection!F22</f>
        <v>1</v>
      </c>
      <c r="G35" s="11" t="n">
        <f aca="false">Projection!G22</f>
        <v>0</v>
      </c>
      <c r="H35" s="11" t="n">
        <f aca="false">Projection!H22</f>
        <v>0</v>
      </c>
      <c r="I35" s="11" t="n">
        <f aca="false">Projection!I22</f>
        <v>0</v>
      </c>
    </row>
    <row r="36" customFormat="false" ht="15" hidden="false" customHeight="false" outlineLevel="0" collapsed="false">
      <c r="A36" s="5" t="s">
        <v>29</v>
      </c>
      <c r="B36" s="12" t="str">
        <f aca="false">Projection!B36</f>
        <v>yes</v>
      </c>
      <c r="C36" s="12" t="str">
        <f aca="false">Projection!C36</f>
        <v>yes</v>
      </c>
      <c r="D36" s="12" t="str">
        <f aca="false">Projection!D36</f>
        <v>yes</v>
      </c>
      <c r="E36" s="12" t="str">
        <f aca="false">Projection!E36</f>
        <v>yes</v>
      </c>
      <c r="F36" s="12" t="str">
        <f aca="false">Projection!F36</f>
        <v>yes</v>
      </c>
      <c r="G36" s="12" t="str">
        <f aca="false">Projection!G36</f>
        <v>no: full-time rates</v>
      </c>
      <c r="H36" s="12" t="str">
        <f aca="false">Projection!H36</f>
        <v>no: full-time rates</v>
      </c>
      <c r="I36" s="12" t="str">
        <f aca="false">Projection!I36</f>
        <v>no: full-time rates</v>
      </c>
    </row>
    <row r="37" customFormat="false" ht="15" hidden="false" customHeight="false" outlineLevel="0" collapsed="false">
      <c r="A37" s="5" t="s">
        <v>30</v>
      </c>
      <c r="B37" s="6" t="n">
        <f aca="false">Projection!B39</f>
        <v>2.35605124</v>
      </c>
      <c r="C37" s="6" t="n">
        <f aca="false">Projection!C39</f>
        <v>0.493427792</v>
      </c>
      <c r="D37" s="6" t="n">
        <f aca="false">Projection!D39</f>
        <v>0.26045438</v>
      </c>
      <c r="E37" s="6" t="n">
        <f aca="false">Projection!E39</f>
        <v>0.1699587024</v>
      </c>
      <c r="F37" s="6" t="n">
        <f aca="false">Projection!F39</f>
        <v>0.09883622</v>
      </c>
      <c r="G37" s="6" t="n">
        <f aca="false">Projection!G39</f>
        <v>0.063304075</v>
      </c>
      <c r="H37" s="6" t="n">
        <f aca="false">Projection!H39</f>
        <v>0.057234998</v>
      </c>
      <c r="I37" s="6" t="n">
        <f aca="false">Projection!I39</f>
        <v>0.042503464</v>
      </c>
    </row>
    <row r="38" customFormat="false" ht="15" hidden="false" customHeight="false" outlineLevel="0" collapsed="false">
      <c r="A38" s="5" t="s">
        <v>31</v>
      </c>
      <c r="B38" s="6" t="n">
        <f aca="false">Projection!B40</f>
        <v>39.2675206666667</v>
      </c>
      <c r="C38" s="6" t="n">
        <f aca="false">Projection!C40</f>
        <v>8.81121057142857</v>
      </c>
      <c r="D38" s="6" t="n">
        <f aca="false">Projection!D40</f>
        <v>4.73553418181818</v>
      </c>
      <c r="E38" s="6" t="n">
        <f aca="false">Projection!E40</f>
        <v>3.078962</v>
      </c>
      <c r="F38" s="6" t="n">
        <f aca="false">Projection!F40</f>
        <v>1.79702218181818</v>
      </c>
      <c r="G38" s="6" t="n">
        <f aca="false">Projection!G40</f>
        <v>1.15098318181818</v>
      </c>
      <c r="H38" s="6" t="n">
        <f aca="false">Projection!H40</f>
        <v>1.04063632727273</v>
      </c>
      <c r="I38" s="6" t="n">
        <f aca="false">Projection!I40</f>
        <v>0.772790254545455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110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4" customFormat="false" ht="15" hidden="false" customHeight="false" outlineLevel="0" collapsed="false">
      <c r="A4" s="13" t="s">
        <v>34</v>
      </c>
      <c r="B4" s="13" t="s">
        <v>35</v>
      </c>
      <c r="C4" s="13" t="s">
        <v>36</v>
      </c>
      <c r="D4" s="13" t="s">
        <v>37</v>
      </c>
    </row>
    <row r="5" customFormat="false" ht="15" hidden="false" customHeight="false" outlineLevel="0" collapsed="false">
      <c r="A5" s="3" t="s">
        <v>38</v>
      </c>
      <c r="B5" s="4"/>
      <c r="C5" s="4"/>
      <c r="D5" s="4"/>
    </row>
    <row r="6" customFormat="false" ht="15" hidden="false" customHeight="false" outlineLevel="0" collapsed="false">
      <c r="A6" s="5" t="s">
        <v>39</v>
      </c>
      <c r="B6" s="14" t="n">
        <v>0.86</v>
      </c>
      <c r="C6" s="5" t="s">
        <v>40</v>
      </c>
      <c r="D6" s="15" t="s">
        <v>41</v>
      </c>
    </row>
    <row r="7" customFormat="false" ht="15" hidden="false" customHeight="false" outlineLevel="0" collapsed="false">
      <c r="A7" s="5" t="s">
        <v>42</v>
      </c>
      <c r="B7" s="16" t="n">
        <v>0.21</v>
      </c>
      <c r="C7" s="5" t="s">
        <v>43</v>
      </c>
      <c r="D7" s="15" t="s">
        <v>44</v>
      </c>
    </row>
    <row r="8" customFormat="false" ht="26.85" hidden="false" customHeight="false" outlineLevel="0" collapsed="false">
      <c r="A8" s="5" t="s">
        <v>45</v>
      </c>
      <c r="B8" s="16" t="n">
        <v>0.21</v>
      </c>
      <c r="C8" s="5" t="s">
        <v>43</v>
      </c>
      <c r="D8" s="15" t="s">
        <v>46</v>
      </c>
    </row>
    <row r="9" customFormat="false" ht="15" hidden="false" customHeight="false" outlineLevel="0" collapsed="false">
      <c r="A9" s="3" t="s">
        <v>47</v>
      </c>
      <c r="B9" s="4"/>
      <c r="C9" s="4"/>
      <c r="D9" s="4"/>
    </row>
    <row r="10" customFormat="false" ht="15" hidden="false" customHeight="false" outlineLevel="0" collapsed="false">
      <c r="A10" s="5" t="s">
        <v>48</v>
      </c>
      <c r="B10" s="17" t="n">
        <v>8.99</v>
      </c>
      <c r="C10" s="5" t="s">
        <v>49</v>
      </c>
      <c r="D10" s="15" t="s">
        <v>50</v>
      </c>
    </row>
    <row r="11" customFormat="false" ht="15" hidden="false" customHeight="false" outlineLevel="0" collapsed="false">
      <c r="A11" s="5" t="s">
        <v>51</v>
      </c>
      <c r="B11" s="17" t="n">
        <v>59.99</v>
      </c>
      <c r="C11" s="5" t="s">
        <v>52</v>
      </c>
      <c r="D11" s="15" t="s">
        <v>53</v>
      </c>
    </row>
    <row r="12" customFormat="false" ht="15" hidden="false" customHeight="false" outlineLevel="0" collapsed="false">
      <c r="A12" s="5" t="s">
        <v>54</v>
      </c>
      <c r="B12" s="17" t="n">
        <v>14.99</v>
      </c>
      <c r="C12" s="5" t="s">
        <v>49</v>
      </c>
      <c r="D12" s="15" t="s">
        <v>55</v>
      </c>
    </row>
    <row r="13" customFormat="false" ht="15" hidden="false" customHeight="false" outlineLevel="0" collapsed="false">
      <c r="A13" s="5" t="s">
        <v>56</v>
      </c>
      <c r="B13" s="17" t="n">
        <v>99.99</v>
      </c>
      <c r="C13" s="5" t="s">
        <v>52</v>
      </c>
      <c r="D13" s="15" t="s">
        <v>57</v>
      </c>
    </row>
    <row r="14" customFormat="false" ht="15" hidden="false" customHeight="false" outlineLevel="0" collapsed="false">
      <c r="A14" s="3" t="s">
        <v>58</v>
      </c>
      <c r="B14" s="4"/>
      <c r="C14" s="4"/>
      <c r="D14" s="4"/>
    </row>
    <row r="15" customFormat="false" ht="15" hidden="false" customHeight="false" outlineLevel="0" collapsed="false">
      <c r="A15" s="5" t="s">
        <v>59</v>
      </c>
      <c r="B15" s="16" t="n">
        <v>0.045</v>
      </c>
      <c r="C15" s="5" t="s">
        <v>60</v>
      </c>
      <c r="D15" s="15" t="s">
        <v>61</v>
      </c>
    </row>
    <row r="16" customFormat="false" ht="15" hidden="false" customHeight="false" outlineLevel="0" collapsed="false">
      <c r="A16" s="5" t="s">
        <v>62</v>
      </c>
      <c r="B16" s="16" t="n">
        <v>0.01</v>
      </c>
      <c r="C16" s="5" t="s">
        <v>60</v>
      </c>
      <c r="D16" s="15" t="s">
        <v>63</v>
      </c>
    </row>
    <row r="17" customFormat="false" ht="15" hidden="false" customHeight="false" outlineLevel="0" collapsed="false">
      <c r="A17" s="5" t="s">
        <v>64</v>
      </c>
      <c r="B17" s="16" t="n">
        <v>0.7</v>
      </c>
      <c r="C17" s="5" t="s">
        <v>65</v>
      </c>
      <c r="D17" s="15" t="s">
        <v>66</v>
      </c>
    </row>
    <row r="18" customFormat="false" ht="15" hidden="false" customHeight="false" outlineLevel="0" collapsed="false">
      <c r="A18" s="5" t="s">
        <v>67</v>
      </c>
      <c r="B18" s="16" t="n">
        <v>0.45</v>
      </c>
      <c r="C18" s="5" t="s">
        <v>68</v>
      </c>
      <c r="D18" s="15" t="s">
        <v>69</v>
      </c>
    </row>
    <row r="19" customFormat="false" ht="15" hidden="false" customHeight="false" outlineLevel="0" collapsed="false">
      <c r="A19" s="5" t="s">
        <v>70</v>
      </c>
      <c r="B19" s="16" t="n">
        <v>0.6</v>
      </c>
      <c r="C19" s="5" t="s">
        <v>71</v>
      </c>
      <c r="D19" s="15" t="s">
        <v>72</v>
      </c>
    </row>
    <row r="20" customFormat="false" ht="15" hidden="false" customHeight="false" outlineLevel="0" collapsed="false">
      <c r="A20" s="3" t="s">
        <v>73</v>
      </c>
      <c r="B20" s="4"/>
      <c r="C20" s="4"/>
      <c r="D20" s="4"/>
    </row>
    <row r="21" customFormat="false" ht="26.85" hidden="false" customHeight="false" outlineLevel="0" collapsed="false">
      <c r="A21" s="5" t="s">
        <v>74</v>
      </c>
      <c r="B21" s="18" t="n">
        <v>0.15</v>
      </c>
      <c r="C21" s="5" t="s">
        <v>75</v>
      </c>
      <c r="D21" s="15" t="s">
        <v>76</v>
      </c>
    </row>
    <row r="22" customFormat="false" ht="15" hidden="false" customHeight="false" outlineLevel="0" collapsed="false">
      <c r="A22" s="5" t="s">
        <v>77</v>
      </c>
      <c r="B22" s="18" t="n">
        <v>0.015</v>
      </c>
      <c r="C22" s="5" t="s">
        <v>78</v>
      </c>
      <c r="D22" s="15" t="s">
        <v>79</v>
      </c>
    </row>
    <row r="23" customFormat="false" ht="15" hidden="false" customHeight="false" outlineLevel="0" collapsed="false">
      <c r="A23" s="5" t="s">
        <v>80</v>
      </c>
      <c r="B23" s="19" t="n">
        <v>0.25</v>
      </c>
      <c r="C23" s="5" t="s">
        <v>81</v>
      </c>
      <c r="D23" s="15" t="s">
        <v>82</v>
      </c>
    </row>
    <row r="24" customFormat="false" ht="15" hidden="false" customHeight="false" outlineLevel="0" collapsed="false">
      <c r="A24" s="5" t="s">
        <v>83</v>
      </c>
      <c r="B24" s="18" t="n">
        <v>0.007</v>
      </c>
      <c r="C24" s="5" t="s">
        <v>78</v>
      </c>
      <c r="D24" s="15" t="s">
        <v>84</v>
      </c>
    </row>
    <row r="25" customFormat="false" ht="15" hidden="false" customHeight="false" outlineLevel="0" collapsed="false">
      <c r="A25" s="3" t="s">
        <v>85</v>
      </c>
      <c r="B25" s="4"/>
      <c r="C25" s="4"/>
      <c r="D25" s="4"/>
    </row>
    <row r="26" customFormat="false" ht="15" hidden="false" customHeight="false" outlineLevel="0" collapsed="false">
      <c r="A26" s="5" t="s">
        <v>86</v>
      </c>
      <c r="B26" s="20" t="s">
        <v>87</v>
      </c>
      <c r="C26" s="5" t="s">
        <v>88</v>
      </c>
      <c r="D26" s="15" t="s">
        <v>89</v>
      </c>
    </row>
    <row r="27" customFormat="false" ht="15" hidden="false" customHeight="false" outlineLevel="0" collapsed="false">
      <c r="A27" s="5" t="s">
        <v>90</v>
      </c>
      <c r="B27" s="21" t="n">
        <v>25000</v>
      </c>
      <c r="C27" s="5" t="s">
        <v>52</v>
      </c>
      <c r="D27" s="15" t="s">
        <v>91</v>
      </c>
    </row>
    <row r="28" customFormat="false" ht="26.85" hidden="false" customHeight="false" outlineLevel="0" collapsed="false">
      <c r="A28" s="5" t="s">
        <v>92</v>
      </c>
      <c r="B28" s="21" t="n">
        <v>10000</v>
      </c>
      <c r="C28" s="5" t="s">
        <v>52</v>
      </c>
      <c r="D28" s="15" t="s">
        <v>93</v>
      </c>
    </row>
    <row r="29" customFormat="false" ht="15" hidden="false" customHeight="false" outlineLevel="0" collapsed="false">
      <c r="A29" s="5" t="s">
        <v>94</v>
      </c>
      <c r="B29" s="16" t="n">
        <v>0.8</v>
      </c>
      <c r="C29" s="5" t="s">
        <v>95</v>
      </c>
      <c r="D29" s="15" t="s">
        <v>96</v>
      </c>
    </row>
    <row r="30" customFormat="false" ht="15" hidden="false" customHeight="false" outlineLevel="0" collapsed="false">
      <c r="A30" s="3" t="s">
        <v>97</v>
      </c>
      <c r="B30" s="4"/>
      <c r="C30" s="4"/>
      <c r="D30" s="4"/>
    </row>
    <row r="31" customFormat="false" ht="26.85" hidden="false" customHeight="false" outlineLevel="0" collapsed="false">
      <c r="A31" s="5" t="s">
        <v>98</v>
      </c>
      <c r="B31" s="22" t="n">
        <v>0.27</v>
      </c>
      <c r="C31" s="5" t="s">
        <v>99</v>
      </c>
      <c r="D31" s="15" t="s">
        <v>100</v>
      </c>
    </row>
    <row r="32" customFormat="false" ht="15" hidden="false" customHeight="false" outlineLevel="0" collapsed="false">
      <c r="A32" s="5" t="s">
        <v>101</v>
      </c>
      <c r="B32" s="23" t="n">
        <v>1.33</v>
      </c>
      <c r="C32" s="5" t="s">
        <v>99</v>
      </c>
      <c r="D32" s="15" t="s">
        <v>102</v>
      </c>
    </row>
    <row r="33" customFormat="false" ht="15" hidden="false" customHeight="false" outlineLevel="0" collapsed="false">
      <c r="A33" s="5" t="s">
        <v>103</v>
      </c>
      <c r="B33" s="22" t="n">
        <v>0.44</v>
      </c>
      <c r="C33" s="5" t="s">
        <v>99</v>
      </c>
      <c r="D33" s="15" t="s">
        <v>104</v>
      </c>
    </row>
    <row r="34" customFormat="false" ht="15" hidden="false" customHeight="false" outlineLevel="0" collapsed="false">
      <c r="A34" s="5" t="s">
        <v>105</v>
      </c>
      <c r="B34" s="22" t="n">
        <v>3.2</v>
      </c>
      <c r="C34" s="5" t="s">
        <v>99</v>
      </c>
      <c r="D34" s="15" t="s">
        <v>106</v>
      </c>
    </row>
    <row r="35" customFormat="false" ht="15" hidden="false" customHeight="false" outlineLevel="0" collapsed="false">
      <c r="A35" s="5" t="s">
        <v>107</v>
      </c>
      <c r="B35" s="19" t="n">
        <v>0.01</v>
      </c>
      <c r="C35" s="5" t="s">
        <v>49</v>
      </c>
      <c r="D35" s="15" t="s">
        <v>108</v>
      </c>
    </row>
    <row r="36" customFormat="false" ht="15" hidden="false" customHeight="false" outlineLevel="0" collapsed="false">
      <c r="A36" s="5" t="s">
        <v>109</v>
      </c>
      <c r="B36" s="19" t="n">
        <v>0.02</v>
      </c>
      <c r="C36" s="5" t="s">
        <v>49</v>
      </c>
      <c r="D36" s="15" t="s">
        <v>110</v>
      </c>
    </row>
    <row r="37" customFormat="false" ht="15" hidden="false" customHeight="false" outlineLevel="0" collapsed="false">
      <c r="A37" s="3" t="s">
        <v>111</v>
      </c>
      <c r="B37" s="4"/>
      <c r="C37" s="4"/>
      <c r="D37" s="4"/>
    </row>
    <row r="38" customFormat="false" ht="15" hidden="false" customHeight="false" outlineLevel="0" collapsed="false">
      <c r="A38" s="5" t="s">
        <v>112</v>
      </c>
      <c r="B38" s="24" t="n">
        <v>2000</v>
      </c>
      <c r="C38" s="5" t="s">
        <v>113</v>
      </c>
      <c r="D38" s="15" t="s">
        <v>114</v>
      </c>
    </row>
    <row r="39" customFormat="false" ht="15" hidden="false" customHeight="false" outlineLevel="0" collapsed="false">
      <c r="A39" s="5" t="s">
        <v>115</v>
      </c>
      <c r="B39" s="24" t="n">
        <v>20000</v>
      </c>
      <c r="C39" s="5" t="s">
        <v>113</v>
      </c>
      <c r="D39" s="15"/>
    </row>
    <row r="40" customFormat="false" ht="15" hidden="false" customHeight="false" outlineLevel="0" collapsed="false">
      <c r="A40" s="3" t="s">
        <v>116</v>
      </c>
      <c r="B40" s="4"/>
      <c r="C40" s="4"/>
      <c r="D40" s="4"/>
    </row>
    <row r="41" customFormat="false" ht="15" hidden="false" customHeight="false" outlineLevel="0" collapsed="false">
      <c r="A41" s="5" t="s">
        <v>117</v>
      </c>
      <c r="B41" s="19" t="n">
        <v>8687.04</v>
      </c>
      <c r="C41" s="5" t="s">
        <v>118</v>
      </c>
      <c r="D41" s="15" t="s">
        <v>119</v>
      </c>
    </row>
    <row r="42" customFormat="false" ht="15" hidden="false" customHeight="false" outlineLevel="0" collapsed="false">
      <c r="A42" s="5" t="s">
        <v>120</v>
      </c>
      <c r="B42" s="19" t="n">
        <v>17374.08</v>
      </c>
      <c r="C42" s="5" t="s">
        <v>118</v>
      </c>
      <c r="D42" s="15" t="s">
        <v>121</v>
      </c>
    </row>
    <row r="43" customFormat="false" ht="15" hidden="false" customHeight="false" outlineLevel="0" collapsed="false">
      <c r="A43" s="5" t="s">
        <v>122</v>
      </c>
      <c r="B43" s="18" t="n">
        <v>0.205</v>
      </c>
      <c r="C43" s="5" t="s">
        <v>43</v>
      </c>
      <c r="D43" s="15" t="s">
        <v>123</v>
      </c>
    </row>
    <row r="44" customFormat="false" ht="15" hidden="false" customHeight="false" outlineLevel="0" collapsed="false">
      <c r="A44" s="5" t="s">
        <v>124</v>
      </c>
      <c r="B44" s="19" t="n">
        <v>925.59</v>
      </c>
      <c r="C44" s="5" t="s">
        <v>125</v>
      </c>
      <c r="D44" s="15" t="s">
        <v>126</v>
      </c>
    </row>
    <row r="46" customFormat="false" ht="15" hidden="false" customHeight="false" outlineLevel="0" collapsed="false">
      <c r="A46" s="25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7" min="3" style="0" width="13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" t="s">
        <v>128</v>
      </c>
    </row>
    <row r="2" customFormat="false" ht="15" hidden="false" customHeight="false" outlineLevel="0" collapsed="false">
      <c r="A2" s="2" t="s">
        <v>129</v>
      </c>
    </row>
    <row r="4" customFormat="false" ht="26.85" hidden="false" customHeight="false" outlineLevel="0" collapsed="false">
      <c r="A4" s="13" t="s">
        <v>130</v>
      </c>
      <c r="B4" s="13" t="s">
        <v>131</v>
      </c>
      <c r="C4" s="13" t="s">
        <v>132</v>
      </c>
      <c r="D4" s="13" t="s">
        <v>133</v>
      </c>
      <c r="E4" s="13" t="s">
        <v>134</v>
      </c>
      <c r="F4" s="13" t="s">
        <v>135</v>
      </c>
      <c r="G4" s="13" t="s">
        <v>136</v>
      </c>
      <c r="H4" s="13" t="s">
        <v>137</v>
      </c>
    </row>
    <row r="5" customFormat="false" ht="15" hidden="false" customHeight="false" outlineLevel="0" collapsed="false">
      <c r="A5" s="5" t="s">
        <v>138</v>
      </c>
      <c r="B5" s="5" t="s">
        <v>139</v>
      </c>
      <c r="C5" s="19" t="n">
        <v>8</v>
      </c>
      <c r="D5" s="6" t="n">
        <f aca="false">Assumptions!$B$10</f>
        <v>8.99</v>
      </c>
      <c r="E5" s="26" t="n">
        <f aca="false">D5/1</f>
        <v>8.99</v>
      </c>
      <c r="G5" s="27" t="n">
        <f aca="false">D5/C5-1</f>
        <v>0.12375</v>
      </c>
      <c r="H5" s="5" t="str">
        <f aca="false">IF(MOD(ROUND(D5*100,0),100)=99,"yes","round to .99")</f>
        <v>yes</v>
      </c>
    </row>
    <row r="6" customFormat="false" ht="15" hidden="false" customHeight="false" outlineLevel="0" collapsed="false">
      <c r="A6" s="7" t="s">
        <v>138</v>
      </c>
      <c r="B6" s="5" t="s">
        <v>140</v>
      </c>
      <c r="C6" s="19" t="n">
        <v>52</v>
      </c>
      <c r="D6" s="28" t="n">
        <f aca="false">Assumptions!$B$11</f>
        <v>59.99</v>
      </c>
      <c r="E6" s="26" t="n">
        <f aca="false">D6/12</f>
        <v>4.99916666666667</v>
      </c>
      <c r="F6" s="27" t="n">
        <f aca="false">1-D6/(12*D5)</f>
        <v>0.443919169447534</v>
      </c>
      <c r="G6" s="27" t="n">
        <f aca="false">D6/C6-1</f>
        <v>0.153653846153846</v>
      </c>
      <c r="H6" s="5" t="str">
        <f aca="false">IF(MOD(ROUND(D6*100,0),100)=99,"yes","round to .99")</f>
        <v>yes</v>
      </c>
    </row>
    <row r="7" customFormat="false" ht="15" hidden="false" customHeight="false" outlineLevel="0" collapsed="false">
      <c r="A7" s="5" t="s">
        <v>141</v>
      </c>
      <c r="B7" s="5" t="s">
        <v>139</v>
      </c>
      <c r="C7" s="19" t="n">
        <v>12</v>
      </c>
      <c r="D7" s="6" t="n">
        <f aca="false">Assumptions!$B$12</f>
        <v>14.99</v>
      </c>
      <c r="E7" s="26" t="n">
        <f aca="false">D7/1</f>
        <v>14.99</v>
      </c>
      <c r="G7" s="27" t="n">
        <f aca="false">D7/C7-1</f>
        <v>0.249166666666667</v>
      </c>
      <c r="H7" s="5" t="str">
        <f aca="false">IF(MOD(ROUND(D7*100,0),100)=99,"yes","round to .99")</f>
        <v>yes</v>
      </c>
    </row>
    <row r="8" customFormat="false" ht="15" hidden="false" customHeight="false" outlineLevel="0" collapsed="false">
      <c r="A8" s="5" t="s">
        <v>141</v>
      </c>
      <c r="B8" s="5" t="s">
        <v>140</v>
      </c>
      <c r="C8" s="19" t="n">
        <v>65</v>
      </c>
      <c r="D8" s="6" t="n">
        <f aca="false">Assumptions!$B$13</f>
        <v>99.99</v>
      </c>
      <c r="E8" s="26" t="n">
        <f aca="false">D8/12</f>
        <v>8.3325</v>
      </c>
      <c r="F8" s="27" t="n">
        <f aca="false">1-D8/(12*D7)</f>
        <v>0.444129419613075</v>
      </c>
      <c r="G8" s="27" t="n">
        <f aca="false">D8/C8-1</f>
        <v>0.538307692307692</v>
      </c>
      <c r="H8" s="5" t="str">
        <f aca="false">IF(MOD(ROUND(D8*100,0),100)=99,"yes","round to .99")</f>
        <v>yes</v>
      </c>
    </row>
    <row r="10" customFormat="false" ht="15" hidden="false" customHeight="false" outlineLevel="0" collapsed="false">
      <c r="A10" s="3" t="s">
        <v>142</v>
      </c>
      <c r="B10" s="4"/>
      <c r="C10" s="4"/>
      <c r="D10" s="4"/>
      <c r="E10" s="4"/>
      <c r="F10" s="4"/>
      <c r="G10" s="4"/>
      <c r="H10" s="4"/>
    </row>
    <row r="11" customFormat="false" ht="15" hidden="false" customHeight="false" outlineLevel="0" collapsed="false">
      <c r="A11" s="5" t="s">
        <v>143</v>
      </c>
      <c r="D11" s="26" t="n">
        <f aca="false">D8-D6</f>
        <v>40</v>
      </c>
    </row>
    <row r="12" customFormat="false" ht="15" hidden="false" customHeight="false" outlineLevel="0" collapsed="false">
      <c r="A12" s="5" t="s">
        <v>144</v>
      </c>
      <c r="D12" s="26" t="n">
        <f aca="false">(D8-D6)/12</f>
        <v>3.33333333333333</v>
      </c>
    </row>
    <row r="13" customFormat="false" ht="15" hidden="false" customHeight="false" outlineLevel="0" collapsed="false">
      <c r="A13" s="5" t="s">
        <v>145</v>
      </c>
      <c r="D13" s="26" t="n">
        <f aca="false">D7-D5</f>
        <v>6</v>
      </c>
    </row>
    <row r="14" customFormat="false" ht="15" hidden="false" customHeight="false" outlineLevel="0" collapsed="false">
      <c r="A14" s="25" t="s">
        <v>146</v>
      </c>
    </row>
    <row r="16" customFormat="false" ht="15" hidden="false" customHeight="false" outlineLevel="0" collapsed="false">
      <c r="A16" s="3" t="s">
        <v>147</v>
      </c>
      <c r="B16" s="4"/>
      <c r="C16" s="4"/>
      <c r="D16" s="4"/>
      <c r="E16" s="4"/>
      <c r="F16" s="4"/>
      <c r="G16" s="4"/>
      <c r="H16" s="4"/>
    </row>
    <row r="17" customFormat="false" ht="15" hidden="false" customHeight="false" outlineLevel="0" collapsed="false">
      <c r="A17" s="13" t="s">
        <v>148</v>
      </c>
      <c r="B17" s="13" t="s">
        <v>149</v>
      </c>
      <c r="C17" s="13" t="s">
        <v>150</v>
      </c>
      <c r="D17" s="13" t="s">
        <v>151</v>
      </c>
      <c r="E17" s="13" t="s">
        <v>152</v>
      </c>
      <c r="F17" s="13"/>
      <c r="G17" s="13"/>
      <c r="H17" s="13" t="s">
        <v>153</v>
      </c>
    </row>
    <row r="18" customFormat="false" ht="15" hidden="false" customHeight="false" outlineLevel="0" collapsed="false">
      <c r="A18" s="5" t="s">
        <v>154</v>
      </c>
      <c r="B18" s="5" t="s">
        <v>155</v>
      </c>
      <c r="C18" s="23" t="n">
        <v>9</v>
      </c>
      <c r="D18" s="23" t="n">
        <v>89</v>
      </c>
      <c r="E18" s="23" t="n">
        <v>299</v>
      </c>
      <c r="H18" s="5" t="s">
        <v>156</v>
      </c>
    </row>
    <row r="19" customFormat="false" ht="15" hidden="false" customHeight="false" outlineLevel="0" collapsed="false">
      <c r="A19" s="5" t="s">
        <v>157</v>
      </c>
      <c r="B19" s="5" t="s">
        <v>158</v>
      </c>
      <c r="C19" s="23" t="n">
        <v>5</v>
      </c>
      <c r="D19" s="23" t="s">
        <v>159</v>
      </c>
      <c r="E19" s="23" t="n">
        <v>150</v>
      </c>
      <c r="H19" s="5" t="s">
        <v>160</v>
      </c>
    </row>
    <row r="20" customFormat="false" ht="15" hidden="false" customHeight="false" outlineLevel="0" collapsed="false">
      <c r="A20" s="5" t="s">
        <v>161</v>
      </c>
      <c r="B20" s="5" t="s">
        <v>162</v>
      </c>
      <c r="C20" s="23" t="n">
        <v>6.99</v>
      </c>
      <c r="D20" s="23" t="n">
        <v>49.99</v>
      </c>
      <c r="E20" s="23" t="n">
        <v>109.99</v>
      </c>
      <c r="H20" s="5" t="s">
        <v>163</v>
      </c>
    </row>
    <row r="21" customFormat="false" ht="15" hidden="false" customHeight="false" outlineLevel="0" collapsed="false">
      <c r="A21" s="5" t="s">
        <v>164</v>
      </c>
      <c r="B21" s="5" t="s">
        <v>165</v>
      </c>
      <c r="C21" s="23" t="n">
        <v>14</v>
      </c>
      <c r="D21" s="23" t="s">
        <v>159</v>
      </c>
      <c r="E21" s="23" t="s">
        <v>159</v>
      </c>
      <c r="H21" s="5" t="s">
        <v>166</v>
      </c>
    </row>
    <row r="23" customFormat="false" ht="15" hidden="false" customHeight="false" outlineLevel="0" collapsed="false">
      <c r="A23" s="3" t="s">
        <v>167</v>
      </c>
      <c r="B23" s="4"/>
      <c r="C23" s="4"/>
      <c r="D23" s="4"/>
      <c r="E23" s="4"/>
      <c r="F23" s="4"/>
      <c r="G23" s="4"/>
      <c r="H23" s="4"/>
    </row>
    <row r="24" customFormat="false" ht="31.5" hidden="false" customHeight="true" outlineLevel="0" collapsed="false">
      <c r="A24" s="5" t="n">
        <v>1</v>
      </c>
      <c r="B24" s="29" t="s">
        <v>168</v>
      </c>
      <c r="C24" s="29"/>
      <c r="D24" s="29"/>
      <c r="E24" s="29"/>
      <c r="F24" s="29"/>
      <c r="G24" s="29"/>
      <c r="H24" s="29"/>
    </row>
    <row r="25" customFormat="false" ht="31.5" hidden="false" customHeight="true" outlineLevel="0" collapsed="false">
      <c r="A25" s="5" t="n">
        <v>2</v>
      </c>
      <c r="B25" s="29" t="s">
        <v>169</v>
      </c>
      <c r="C25" s="29"/>
      <c r="D25" s="29"/>
      <c r="E25" s="29"/>
      <c r="F25" s="29"/>
      <c r="G25" s="29"/>
      <c r="H25" s="29"/>
    </row>
    <row r="26" customFormat="false" ht="31.5" hidden="false" customHeight="true" outlineLevel="0" collapsed="false">
      <c r="A26" s="5" t="n">
        <v>3</v>
      </c>
      <c r="B26" s="29" t="s">
        <v>170</v>
      </c>
      <c r="C26" s="29"/>
      <c r="D26" s="29"/>
      <c r="E26" s="29"/>
      <c r="F26" s="29"/>
      <c r="G26" s="29"/>
      <c r="H26" s="29"/>
    </row>
    <row r="27" customFormat="false" ht="31.5" hidden="false" customHeight="true" outlineLevel="0" collapsed="false">
      <c r="A27" s="5" t="n">
        <v>4</v>
      </c>
      <c r="B27" s="29" t="s">
        <v>171</v>
      </c>
      <c r="C27" s="29"/>
      <c r="D27" s="29"/>
      <c r="E27" s="29"/>
      <c r="F27" s="29"/>
      <c r="G27" s="29"/>
      <c r="H27" s="29"/>
    </row>
    <row r="28" customFormat="false" ht="31.5" hidden="false" customHeight="true" outlineLevel="0" collapsed="false">
      <c r="A28" s="5" t="n">
        <v>5</v>
      </c>
      <c r="B28" s="29" t="s">
        <v>172</v>
      </c>
      <c r="C28" s="29"/>
      <c r="D28" s="29"/>
      <c r="E28" s="29"/>
      <c r="F28" s="29"/>
      <c r="G28" s="29"/>
      <c r="H28" s="29"/>
    </row>
    <row r="29" customFormat="false" ht="31.5" hidden="false" customHeight="true" outlineLevel="0" collapsed="false">
      <c r="A29" s="5" t="n">
        <v>6</v>
      </c>
      <c r="B29" s="29" t="s">
        <v>173</v>
      </c>
      <c r="C29" s="29"/>
      <c r="D29" s="29"/>
      <c r="E29" s="29"/>
      <c r="F29" s="29"/>
      <c r="G29" s="29"/>
      <c r="H29" s="29"/>
    </row>
    <row r="30" customFormat="false" ht="31.5" hidden="false" customHeight="true" outlineLevel="0" collapsed="false">
      <c r="A30" s="5" t="n">
        <v>7</v>
      </c>
      <c r="B30" s="29" t="s">
        <v>174</v>
      </c>
      <c r="C30" s="29"/>
      <c r="D30" s="29"/>
      <c r="E30" s="29"/>
      <c r="F30" s="29"/>
      <c r="G30" s="29"/>
      <c r="H30" s="29"/>
    </row>
    <row r="31" customFormat="false" ht="31.5" hidden="false" customHeight="true" outlineLevel="0" collapsed="false">
      <c r="A31" s="5" t="n">
        <v>8</v>
      </c>
      <c r="B31" s="29" t="s">
        <v>175</v>
      </c>
      <c r="C31" s="29"/>
      <c r="D31" s="29"/>
      <c r="E31" s="29"/>
      <c r="F31" s="29"/>
      <c r="G31" s="29"/>
      <c r="H31" s="29"/>
    </row>
  </sheetData>
  <mergeCells count="8">
    <mergeCell ref="B24:H24"/>
    <mergeCell ref="B25:H25"/>
    <mergeCell ref="B26:H26"/>
    <mergeCell ref="B27:H27"/>
    <mergeCell ref="B28:H28"/>
    <mergeCell ref="B29:H29"/>
    <mergeCell ref="B30:H30"/>
    <mergeCell ref="B31:H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6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7" min="5" style="0" width="10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1" min="11" style="0" width="90"/>
  </cols>
  <sheetData>
    <row r="1" customFormat="false" ht="17.35" hidden="false" customHeight="false" outlineLevel="0" collapsed="false">
      <c r="A1" s="1" t="s">
        <v>176</v>
      </c>
    </row>
    <row r="2" customFormat="false" ht="15" hidden="false" customHeight="false" outlineLevel="0" collapsed="false">
      <c r="A2" s="2" t="s">
        <v>177</v>
      </c>
    </row>
    <row r="4" customFormat="false" ht="15" hidden="false" customHeight="false" outlineLevel="0" collapsed="false">
      <c r="A4" s="13" t="s">
        <v>178</v>
      </c>
      <c r="B4" s="13" t="s">
        <v>179</v>
      </c>
      <c r="C4" s="13" t="s">
        <v>180</v>
      </c>
      <c r="D4" s="13" t="s">
        <v>181</v>
      </c>
      <c r="E4" s="13" t="s">
        <v>182</v>
      </c>
      <c r="F4" s="13" t="s">
        <v>183</v>
      </c>
      <c r="G4" s="13" t="s">
        <v>184</v>
      </c>
      <c r="H4" s="13" t="s">
        <v>185</v>
      </c>
      <c r="I4" s="13" t="s">
        <v>186</v>
      </c>
      <c r="J4" s="13" t="s">
        <v>187</v>
      </c>
      <c r="K4" s="13" t="s">
        <v>188</v>
      </c>
    </row>
    <row r="5" customFormat="false" ht="26.85" hidden="false" customHeight="false" outlineLevel="0" collapsed="false">
      <c r="A5" s="5" t="s">
        <v>189</v>
      </c>
      <c r="B5" s="5" t="s">
        <v>190</v>
      </c>
      <c r="C5" s="30" t="s">
        <v>87</v>
      </c>
      <c r="D5" s="31" t="s">
        <v>191</v>
      </c>
      <c r="E5" s="32" t="n">
        <v>111.5</v>
      </c>
      <c r="F5" s="32" t="n">
        <v>111.5</v>
      </c>
      <c r="G5" s="32" t="n">
        <v>111.5</v>
      </c>
      <c r="H5" s="26" t="n">
        <f aca="false">E5*IF($D5="USD",Assumptions!$B$6*(1+Assumptions!$B$8),1)</f>
        <v>111.5</v>
      </c>
      <c r="I5" s="26" t="n">
        <f aca="false">F5*IF($D5="USD",Assumptions!$B$6*(1+Assumptions!$B$8),1)</f>
        <v>111.5</v>
      </c>
      <c r="J5" s="26" t="n">
        <f aca="false">G5*IF($D5="USD",Assumptions!$B$6*(1+Assumptions!$B$8),1)</f>
        <v>111.5</v>
      </c>
      <c r="K5" s="15" t="s">
        <v>192</v>
      </c>
    </row>
    <row r="6" customFormat="false" ht="26.85" hidden="false" customHeight="false" outlineLevel="0" collapsed="false">
      <c r="A6" s="5" t="s">
        <v>193</v>
      </c>
      <c r="B6" s="5" t="s">
        <v>190</v>
      </c>
      <c r="C6" s="30" t="s">
        <v>87</v>
      </c>
      <c r="D6" s="31" t="s">
        <v>191</v>
      </c>
      <c r="E6" s="32" t="n">
        <v>0</v>
      </c>
      <c r="F6" s="32" t="n">
        <v>0</v>
      </c>
      <c r="G6" s="32" t="n">
        <v>0</v>
      </c>
      <c r="H6" s="26" t="n">
        <f aca="false">E6*IF($D6="USD",Assumptions!$B$6*(1+Assumptions!$B$8),1)</f>
        <v>0</v>
      </c>
      <c r="I6" s="26" t="n">
        <f aca="false">F6*IF($D6="USD",Assumptions!$B$6*(1+Assumptions!$B$8),1)</f>
        <v>0</v>
      </c>
      <c r="J6" s="26" t="n">
        <f aca="false">G6*IF($D6="USD",Assumptions!$B$6*(1+Assumptions!$B$8),1)</f>
        <v>0</v>
      </c>
      <c r="K6" s="15" t="s">
        <v>194</v>
      </c>
    </row>
    <row r="7" customFormat="false" ht="26.85" hidden="false" customHeight="false" outlineLevel="0" collapsed="false">
      <c r="A7" s="5" t="s">
        <v>195</v>
      </c>
      <c r="B7" s="5" t="s">
        <v>190</v>
      </c>
      <c r="C7" s="30" t="s">
        <v>87</v>
      </c>
      <c r="D7" s="31" t="s">
        <v>191</v>
      </c>
      <c r="E7" s="32" t="n">
        <v>0</v>
      </c>
      <c r="F7" s="32" t="n">
        <v>0</v>
      </c>
      <c r="G7" s="32" t="n">
        <v>0</v>
      </c>
      <c r="H7" s="26" t="n">
        <f aca="false">E7*IF($D7="USD",Assumptions!$B$6*(1+Assumptions!$B$8),1)</f>
        <v>0</v>
      </c>
      <c r="I7" s="26" t="n">
        <f aca="false">F7*IF($D7="USD",Assumptions!$B$6*(1+Assumptions!$B$8),1)</f>
        <v>0</v>
      </c>
      <c r="J7" s="26" t="n">
        <f aca="false">G7*IF($D7="USD",Assumptions!$B$6*(1+Assumptions!$B$8),1)</f>
        <v>0</v>
      </c>
      <c r="K7" s="15" t="s">
        <v>196</v>
      </c>
    </row>
    <row r="8" customFormat="false" ht="15" hidden="false" customHeight="false" outlineLevel="0" collapsed="false">
      <c r="A8" s="5" t="s">
        <v>197</v>
      </c>
      <c r="B8" s="5" t="s">
        <v>190</v>
      </c>
      <c r="C8" s="30" t="s">
        <v>87</v>
      </c>
      <c r="D8" s="31" t="s">
        <v>191</v>
      </c>
      <c r="E8" s="32" t="n">
        <v>0</v>
      </c>
      <c r="F8" s="32" t="n">
        <v>0</v>
      </c>
      <c r="G8" s="32" t="n">
        <v>0</v>
      </c>
      <c r="H8" s="26" t="n">
        <f aca="false">E8*IF($D8="USD",Assumptions!$B$6*(1+Assumptions!$B$8),1)</f>
        <v>0</v>
      </c>
      <c r="I8" s="26" t="n">
        <f aca="false">F8*IF($D8="USD",Assumptions!$B$6*(1+Assumptions!$B$8),1)</f>
        <v>0</v>
      </c>
      <c r="J8" s="26" t="n">
        <f aca="false">G8*IF($D8="USD",Assumptions!$B$6*(1+Assumptions!$B$8),1)</f>
        <v>0</v>
      </c>
      <c r="K8" s="15" t="s">
        <v>198</v>
      </c>
    </row>
    <row r="9" customFormat="false" ht="15" hidden="false" customHeight="false" outlineLevel="0" collapsed="false">
      <c r="A9" s="5" t="s">
        <v>199</v>
      </c>
      <c r="B9" s="5" t="s">
        <v>190</v>
      </c>
      <c r="C9" s="30" t="s">
        <v>200</v>
      </c>
      <c r="D9" s="31" t="s">
        <v>191</v>
      </c>
      <c r="E9" s="32" t="n">
        <v>1000</v>
      </c>
      <c r="F9" s="32" t="n">
        <v>1400</v>
      </c>
      <c r="G9" s="32" t="n">
        <v>2000</v>
      </c>
      <c r="H9" s="26" t="n">
        <f aca="false">E9*IF($D9="USD",Assumptions!$B$6*(1+Assumptions!$B$8),1)</f>
        <v>1000</v>
      </c>
      <c r="I9" s="26" t="n">
        <f aca="false">F9*IF($D9="USD",Assumptions!$B$6*(1+Assumptions!$B$8),1)</f>
        <v>1400</v>
      </c>
      <c r="J9" s="26" t="n">
        <f aca="false">G9*IF($D9="USD",Assumptions!$B$6*(1+Assumptions!$B$8),1)</f>
        <v>2000</v>
      </c>
      <c r="K9" s="15" t="s">
        <v>201</v>
      </c>
    </row>
    <row r="10" customFormat="false" ht="15" hidden="false" customHeight="false" outlineLevel="0" collapsed="false">
      <c r="A10" s="5" t="s">
        <v>202</v>
      </c>
      <c r="B10" s="5" t="s">
        <v>190</v>
      </c>
      <c r="C10" s="30" t="s">
        <v>87</v>
      </c>
      <c r="D10" s="31" t="s">
        <v>191</v>
      </c>
      <c r="E10" s="32" t="n">
        <v>271</v>
      </c>
      <c r="F10" s="32" t="n">
        <v>271</v>
      </c>
      <c r="G10" s="32" t="n">
        <v>271</v>
      </c>
      <c r="H10" s="26" t="n">
        <f aca="false">E10*IF($D10="USD",Assumptions!$B$6*(1+Assumptions!$B$8),1)</f>
        <v>271</v>
      </c>
      <c r="I10" s="26" t="n">
        <f aca="false">F10*IF($D10="USD",Assumptions!$B$6*(1+Assumptions!$B$8),1)</f>
        <v>271</v>
      </c>
      <c r="J10" s="26" t="n">
        <f aca="false">G10*IF($D10="USD",Assumptions!$B$6*(1+Assumptions!$B$8),1)</f>
        <v>271</v>
      </c>
      <c r="K10" s="15" t="s">
        <v>203</v>
      </c>
    </row>
    <row r="11" customFormat="false" ht="15" hidden="false" customHeight="false" outlineLevel="0" collapsed="false">
      <c r="A11" s="5" t="s">
        <v>204</v>
      </c>
      <c r="B11" s="5" t="s">
        <v>190</v>
      </c>
      <c r="C11" s="30" t="s">
        <v>200</v>
      </c>
      <c r="D11" s="31" t="s">
        <v>191</v>
      </c>
      <c r="E11" s="32" t="n">
        <v>900</v>
      </c>
      <c r="F11" s="32" t="n">
        <v>900</v>
      </c>
      <c r="G11" s="32" t="n">
        <v>900</v>
      </c>
      <c r="H11" s="26" t="n">
        <f aca="false">E11*IF($D11="USD",Assumptions!$B$6*(1+Assumptions!$B$8),1)</f>
        <v>900</v>
      </c>
      <c r="I11" s="26" t="n">
        <f aca="false">F11*IF($D11="USD",Assumptions!$B$6*(1+Assumptions!$B$8),1)</f>
        <v>900</v>
      </c>
      <c r="J11" s="26" t="n">
        <f aca="false">G11*IF($D11="USD",Assumptions!$B$6*(1+Assumptions!$B$8),1)</f>
        <v>900</v>
      </c>
      <c r="K11" s="15" t="s">
        <v>205</v>
      </c>
    </row>
    <row r="12" customFormat="false" ht="15" hidden="false" customHeight="false" outlineLevel="0" collapsed="false">
      <c r="A12" s="5" t="s">
        <v>206</v>
      </c>
      <c r="B12" s="5" t="s">
        <v>190</v>
      </c>
      <c r="C12" s="30" t="s">
        <v>200</v>
      </c>
      <c r="D12" s="31" t="s">
        <v>191</v>
      </c>
      <c r="E12" s="32" t="n">
        <v>0</v>
      </c>
      <c r="F12" s="32" t="n">
        <v>0</v>
      </c>
      <c r="G12" s="32" t="n">
        <v>500</v>
      </c>
      <c r="H12" s="26" t="n">
        <f aca="false">E12*IF($D12="USD",Assumptions!$B$6*(1+Assumptions!$B$8),1)</f>
        <v>0</v>
      </c>
      <c r="I12" s="26" t="n">
        <f aca="false">F12*IF($D12="USD",Assumptions!$B$6*(1+Assumptions!$B$8),1)</f>
        <v>0</v>
      </c>
      <c r="J12" s="26" t="n">
        <f aca="false">G12*IF($D12="USD",Assumptions!$B$6*(1+Assumptions!$B$8),1)</f>
        <v>500</v>
      </c>
      <c r="K12" s="15" t="s">
        <v>207</v>
      </c>
    </row>
    <row r="13" customFormat="false" ht="15" hidden="false" customHeight="false" outlineLevel="0" collapsed="false">
      <c r="A13" s="5" t="s">
        <v>208</v>
      </c>
      <c r="B13" s="5" t="s">
        <v>190</v>
      </c>
      <c r="C13" s="30" t="s">
        <v>87</v>
      </c>
      <c r="D13" s="31" t="s">
        <v>191</v>
      </c>
      <c r="E13" s="32" t="n">
        <v>0</v>
      </c>
      <c r="F13" s="32" t="n">
        <v>400</v>
      </c>
      <c r="G13" s="32" t="n">
        <v>1500</v>
      </c>
      <c r="H13" s="26" t="n">
        <f aca="false">E13*IF($D13="USD",Assumptions!$B$6*(1+Assumptions!$B$8),1)</f>
        <v>0</v>
      </c>
      <c r="I13" s="26" t="n">
        <f aca="false">F13*IF($D13="USD",Assumptions!$B$6*(1+Assumptions!$B$8),1)</f>
        <v>400</v>
      </c>
      <c r="J13" s="26" t="n">
        <f aca="false">G13*IF($D13="USD",Assumptions!$B$6*(1+Assumptions!$B$8),1)</f>
        <v>1500</v>
      </c>
      <c r="K13" s="15" t="s">
        <v>209</v>
      </c>
    </row>
    <row r="14" customFormat="false" ht="15" hidden="false" customHeight="false" outlineLevel="0" collapsed="false">
      <c r="A14" s="5" t="s">
        <v>210</v>
      </c>
      <c r="B14" s="5" t="s">
        <v>190</v>
      </c>
      <c r="C14" s="30" t="s">
        <v>87</v>
      </c>
      <c r="D14" s="31" t="s">
        <v>191</v>
      </c>
      <c r="E14" s="32" t="n">
        <v>0</v>
      </c>
      <c r="F14" s="32" t="n">
        <v>150</v>
      </c>
      <c r="G14" s="32" t="n">
        <v>300</v>
      </c>
      <c r="H14" s="26" t="n">
        <f aca="false">E14*IF($D14="USD",Assumptions!$B$6*(1+Assumptions!$B$8),1)</f>
        <v>0</v>
      </c>
      <c r="I14" s="26" t="n">
        <f aca="false">F14*IF($D14="USD",Assumptions!$B$6*(1+Assumptions!$B$8),1)</f>
        <v>150</v>
      </c>
      <c r="J14" s="26" t="n">
        <f aca="false">G14*IF($D14="USD",Assumptions!$B$6*(1+Assumptions!$B$8),1)</f>
        <v>300</v>
      </c>
      <c r="K14" s="15" t="s">
        <v>211</v>
      </c>
    </row>
    <row r="15" customFormat="false" ht="15" hidden="false" customHeight="false" outlineLevel="0" collapsed="false">
      <c r="A15" s="5" t="s">
        <v>212</v>
      </c>
      <c r="B15" s="5" t="s">
        <v>213</v>
      </c>
      <c r="C15" s="30" t="s">
        <v>87</v>
      </c>
      <c r="D15" s="31" t="s">
        <v>214</v>
      </c>
      <c r="E15" s="32" t="n">
        <v>25</v>
      </c>
      <c r="F15" s="32" t="n">
        <v>25</v>
      </c>
      <c r="G15" s="32" t="n">
        <v>25</v>
      </c>
      <c r="H15" s="26" t="n">
        <f aca="false">E15*IF($D15="USD",Assumptions!$B$6*(1+Assumptions!$B$8),1)</f>
        <v>26.015</v>
      </c>
      <c r="I15" s="26" t="n">
        <f aca="false">F15*IF($D15="USD",Assumptions!$B$6*(1+Assumptions!$B$8),1)</f>
        <v>26.015</v>
      </c>
      <c r="J15" s="26" t="n">
        <f aca="false">G15*IF($D15="USD",Assumptions!$B$6*(1+Assumptions!$B$8),1)</f>
        <v>26.015</v>
      </c>
      <c r="K15" s="15" t="s">
        <v>215</v>
      </c>
    </row>
    <row r="16" customFormat="false" ht="15" hidden="false" customHeight="false" outlineLevel="0" collapsed="false">
      <c r="A16" s="5" t="s">
        <v>216</v>
      </c>
      <c r="B16" s="5" t="s">
        <v>213</v>
      </c>
      <c r="C16" s="30" t="s">
        <v>200</v>
      </c>
      <c r="D16" s="31" t="s">
        <v>191</v>
      </c>
      <c r="E16" s="32" t="n">
        <v>0</v>
      </c>
      <c r="F16" s="32" t="n">
        <v>0</v>
      </c>
      <c r="G16" s="32" t="n">
        <v>700</v>
      </c>
      <c r="H16" s="26" t="n">
        <f aca="false">E16*IF($D16="USD",Assumptions!$B$6*(1+Assumptions!$B$8),1)</f>
        <v>0</v>
      </c>
      <c r="I16" s="26" t="n">
        <f aca="false">F16*IF($D16="USD",Assumptions!$B$6*(1+Assumptions!$B$8),1)</f>
        <v>0</v>
      </c>
      <c r="J16" s="26" t="n">
        <f aca="false">G16*IF($D16="USD",Assumptions!$B$6*(1+Assumptions!$B$8),1)</f>
        <v>700</v>
      </c>
      <c r="K16" s="15" t="s">
        <v>217</v>
      </c>
    </row>
    <row r="17" customFormat="false" ht="15" hidden="false" customHeight="false" outlineLevel="0" collapsed="false">
      <c r="A17" s="5" t="s">
        <v>218</v>
      </c>
      <c r="B17" s="5" t="s">
        <v>213</v>
      </c>
      <c r="C17" s="30" t="s">
        <v>200</v>
      </c>
      <c r="D17" s="31" t="s">
        <v>191</v>
      </c>
      <c r="E17" s="32" t="n">
        <v>0</v>
      </c>
      <c r="F17" s="32" t="n">
        <v>150</v>
      </c>
      <c r="G17" s="32" t="n">
        <v>400</v>
      </c>
      <c r="H17" s="26" t="n">
        <f aca="false">E17*IF($D17="USD",Assumptions!$B$6*(1+Assumptions!$B$8),1)</f>
        <v>0</v>
      </c>
      <c r="I17" s="26" t="n">
        <f aca="false">F17*IF($D17="USD",Assumptions!$B$6*(1+Assumptions!$B$8),1)</f>
        <v>150</v>
      </c>
      <c r="J17" s="26" t="n">
        <f aca="false">G17*IF($D17="USD",Assumptions!$B$6*(1+Assumptions!$B$8),1)</f>
        <v>400</v>
      </c>
      <c r="K17" s="15"/>
    </row>
    <row r="18" customFormat="false" ht="15" hidden="false" customHeight="false" outlineLevel="0" collapsed="false">
      <c r="A18" s="5" t="s">
        <v>219</v>
      </c>
      <c r="B18" s="5" t="s">
        <v>213</v>
      </c>
      <c r="C18" s="30" t="s">
        <v>87</v>
      </c>
      <c r="D18" s="31" t="s">
        <v>214</v>
      </c>
      <c r="E18" s="32" t="n">
        <v>4</v>
      </c>
      <c r="F18" s="32" t="n">
        <v>5</v>
      </c>
      <c r="G18" s="32" t="n">
        <v>10</v>
      </c>
      <c r="H18" s="26" t="n">
        <f aca="false">E18*IF($D18="USD",Assumptions!$B$6*(1+Assumptions!$B$8),1)</f>
        <v>4.1624</v>
      </c>
      <c r="I18" s="26" t="n">
        <f aca="false">F18*IF($D18="USD",Assumptions!$B$6*(1+Assumptions!$B$8),1)</f>
        <v>5.203</v>
      </c>
      <c r="J18" s="26" t="n">
        <f aca="false">G18*IF($D18="USD",Assumptions!$B$6*(1+Assumptions!$B$8),1)</f>
        <v>10.406</v>
      </c>
      <c r="K18" s="15" t="s">
        <v>220</v>
      </c>
    </row>
    <row r="19" customFormat="false" ht="15" hidden="false" customHeight="false" outlineLevel="0" collapsed="false">
      <c r="A19" s="5" t="s">
        <v>221</v>
      </c>
      <c r="B19" s="5" t="s">
        <v>213</v>
      </c>
      <c r="C19" s="30" t="s">
        <v>87</v>
      </c>
      <c r="D19" s="31" t="s">
        <v>191</v>
      </c>
      <c r="E19" s="32" t="n">
        <v>0</v>
      </c>
      <c r="F19" s="32" t="n">
        <v>0</v>
      </c>
      <c r="G19" s="32" t="n">
        <v>0</v>
      </c>
      <c r="H19" s="26" t="n">
        <f aca="false">E19*IF($D19="USD",Assumptions!$B$6*(1+Assumptions!$B$8),1)</f>
        <v>0</v>
      </c>
      <c r="I19" s="26" t="n">
        <f aca="false">F19*IF($D19="USD",Assumptions!$B$6*(1+Assumptions!$B$8),1)</f>
        <v>0</v>
      </c>
      <c r="J19" s="26" t="n">
        <f aca="false">G19*IF($D19="USD",Assumptions!$B$6*(1+Assumptions!$B$8),1)</f>
        <v>0</v>
      </c>
      <c r="K19" s="15" t="s">
        <v>222</v>
      </c>
    </row>
    <row r="20" customFormat="false" ht="26.85" hidden="false" customHeight="false" outlineLevel="0" collapsed="false">
      <c r="A20" s="5" t="s">
        <v>223</v>
      </c>
      <c r="B20" s="5" t="s">
        <v>213</v>
      </c>
      <c r="C20" s="30" t="s">
        <v>87</v>
      </c>
      <c r="D20" s="31" t="s">
        <v>191</v>
      </c>
      <c r="E20" s="32" t="n">
        <v>0</v>
      </c>
      <c r="F20" s="32" t="n">
        <v>0</v>
      </c>
      <c r="G20" s="32" t="n">
        <v>0</v>
      </c>
      <c r="H20" s="26" t="n">
        <f aca="false">E20*IF($D20="USD",Assumptions!$B$6*(1+Assumptions!$B$8),1)</f>
        <v>0</v>
      </c>
      <c r="I20" s="26" t="n">
        <f aca="false">F20*IF($D20="USD",Assumptions!$B$6*(1+Assumptions!$B$8),1)</f>
        <v>0</v>
      </c>
      <c r="J20" s="26" t="n">
        <f aca="false">G20*IF($D20="USD",Assumptions!$B$6*(1+Assumptions!$B$8),1)</f>
        <v>0</v>
      </c>
      <c r="K20" s="15" t="s">
        <v>224</v>
      </c>
    </row>
    <row r="21" customFormat="false" ht="15" hidden="false" customHeight="false" outlineLevel="0" collapsed="false">
      <c r="A21" s="5" t="s">
        <v>225</v>
      </c>
      <c r="B21" s="5" t="s">
        <v>226</v>
      </c>
      <c r="C21" s="30" t="s">
        <v>200</v>
      </c>
      <c r="D21" s="31" t="s">
        <v>191</v>
      </c>
      <c r="E21" s="32" t="n">
        <v>0</v>
      </c>
      <c r="F21" s="32" t="n">
        <v>300</v>
      </c>
      <c r="G21" s="32" t="n">
        <v>1500</v>
      </c>
      <c r="H21" s="26" t="n">
        <f aca="false">E21*IF($D21="USD",Assumptions!$B$6*(1+Assumptions!$B$8),1)</f>
        <v>0</v>
      </c>
      <c r="I21" s="26" t="n">
        <f aca="false">F21*IF($D21="USD",Assumptions!$B$6*(1+Assumptions!$B$8),1)</f>
        <v>300</v>
      </c>
      <c r="J21" s="26" t="n">
        <f aca="false">G21*IF($D21="USD",Assumptions!$B$6*(1+Assumptions!$B$8),1)</f>
        <v>1500</v>
      </c>
      <c r="K21" s="15" t="s">
        <v>227</v>
      </c>
    </row>
    <row r="23" customFormat="false" ht="15" hidden="false" customHeight="false" outlineLevel="0" collapsed="false">
      <c r="A23" s="7" t="s">
        <v>228</v>
      </c>
      <c r="H23" s="33" t="n">
        <f aca="false">SUMIFS(H5:H21,$C$5:$C$21,"Y")</f>
        <v>412.6774</v>
      </c>
      <c r="I23" s="33" t="n">
        <f aca="false">SUMIFS(I5:I21,$C$5:$C$21,"Y")</f>
        <v>963.718</v>
      </c>
      <c r="J23" s="33" t="n">
        <f aca="false">SUMIFS(J5:J21,$C$5:$C$21,"Y")</f>
        <v>2218.921</v>
      </c>
    </row>
    <row r="24" customFormat="false" ht="15" hidden="false" customHeight="false" outlineLevel="0" collapsed="false">
      <c r="A24" s="7" t="s">
        <v>229</v>
      </c>
      <c r="H24" s="33" t="n">
        <f aca="false">SUM(H5:H21)</f>
        <v>2312.6774</v>
      </c>
      <c r="I24" s="33" t="n">
        <f aca="false">SUM(I5:I21)</f>
        <v>3713.718</v>
      </c>
      <c r="J24" s="33" t="n">
        <f aca="false">SUM(J5:J21)</f>
        <v>8218.921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1"/>
    <col collapsed="false" customWidth="true" hidden="false" outlineLevel="0" max="8" min="4" style="0" width="9"/>
    <col collapsed="false" customWidth="true" hidden="false" outlineLevel="0" max="11" min="9" style="0" width="13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230</v>
      </c>
    </row>
    <row r="2" customFormat="false" ht="15" hidden="false" customHeight="false" outlineLevel="0" collapsed="false">
      <c r="A2" s="2" t="s">
        <v>231</v>
      </c>
    </row>
    <row r="4" customFormat="false" ht="15" hidden="false" customHeight="false" outlineLevel="0" collapsed="false">
      <c r="A4" s="13" t="s">
        <v>178</v>
      </c>
      <c r="B4" s="13" t="s">
        <v>179</v>
      </c>
      <c r="C4" s="13" t="s">
        <v>180</v>
      </c>
      <c r="D4" s="13" t="s">
        <v>181</v>
      </c>
      <c r="E4" s="13" t="s">
        <v>232</v>
      </c>
      <c r="F4" s="13" t="s">
        <v>233</v>
      </c>
      <c r="G4" s="13" t="s">
        <v>234</v>
      </c>
      <c r="H4" s="13" t="s">
        <v>235</v>
      </c>
      <c r="I4" s="13" t="s">
        <v>236</v>
      </c>
      <c r="J4" s="13" t="s">
        <v>237</v>
      </c>
      <c r="K4" s="13" t="s">
        <v>238</v>
      </c>
      <c r="L4" s="13" t="s">
        <v>188</v>
      </c>
    </row>
    <row r="5" customFormat="false" ht="15" hidden="false" customHeight="false" outlineLevel="0" collapsed="false">
      <c r="A5" s="5" t="s">
        <v>239</v>
      </c>
      <c r="B5" s="5" t="s">
        <v>240</v>
      </c>
      <c r="C5" s="30" t="s">
        <v>87</v>
      </c>
      <c r="D5" s="31" t="s">
        <v>214</v>
      </c>
      <c r="E5" s="31" t="s">
        <v>241</v>
      </c>
      <c r="F5" s="32" t="n">
        <v>7</v>
      </c>
      <c r="G5" s="32" t="n">
        <v>25</v>
      </c>
      <c r="H5" s="32" t="n">
        <v>85</v>
      </c>
      <c r="I5" s="26" t="n">
        <f aca="false">F5*IF($D5="USD",Assumptions!$B$6*(1+Assumptions!$B$8),1)/IF($E5="year",12,1)</f>
        <v>7.2842</v>
      </c>
      <c r="J5" s="26" t="n">
        <f aca="false">G5*IF($D5="USD",Assumptions!$B$6*(1+Assumptions!$B$8),1)/IF($E5="year",12,1)</f>
        <v>26.015</v>
      </c>
      <c r="K5" s="26" t="n">
        <f aca="false">H5*IF($D5="USD",Assumptions!$B$6*(1+Assumptions!$B$8),1)/IF($E5="year",12,1)</f>
        <v>88.451</v>
      </c>
      <c r="L5" s="15" t="s">
        <v>242</v>
      </c>
    </row>
    <row r="6" customFormat="false" ht="15" hidden="false" customHeight="false" outlineLevel="0" collapsed="false">
      <c r="A6" s="5" t="s">
        <v>243</v>
      </c>
      <c r="B6" s="5" t="s">
        <v>240</v>
      </c>
      <c r="C6" s="30" t="s">
        <v>87</v>
      </c>
      <c r="D6" s="31" t="s">
        <v>214</v>
      </c>
      <c r="E6" s="31" t="s">
        <v>241</v>
      </c>
      <c r="F6" s="32" t="n">
        <v>0.25</v>
      </c>
      <c r="G6" s="32" t="n">
        <v>1.25</v>
      </c>
      <c r="H6" s="32" t="n">
        <v>5</v>
      </c>
      <c r="I6" s="26" t="n">
        <f aca="false">F6*IF($D6="USD",Assumptions!$B$6*(1+Assumptions!$B$8),1)/IF($E6="year",12,1)</f>
        <v>0.26015</v>
      </c>
      <c r="J6" s="26" t="n">
        <f aca="false">G6*IF($D6="USD",Assumptions!$B$6*(1+Assumptions!$B$8),1)/IF($E6="year",12,1)</f>
        <v>1.30075</v>
      </c>
      <c r="K6" s="26" t="n">
        <f aca="false">H6*IF($D6="USD",Assumptions!$B$6*(1+Assumptions!$B$8),1)/IF($E6="year",12,1)</f>
        <v>5.203</v>
      </c>
      <c r="L6" s="15" t="s">
        <v>244</v>
      </c>
    </row>
    <row r="7" customFormat="false" ht="15" hidden="false" customHeight="false" outlineLevel="0" collapsed="false">
      <c r="A7" s="5" t="s">
        <v>245</v>
      </c>
      <c r="B7" s="5" t="s">
        <v>240</v>
      </c>
      <c r="C7" s="30" t="s">
        <v>87</v>
      </c>
      <c r="D7" s="31" t="s">
        <v>214</v>
      </c>
      <c r="E7" s="31" t="s">
        <v>241</v>
      </c>
      <c r="F7" s="32" t="n">
        <v>7</v>
      </c>
      <c r="G7" s="32" t="n">
        <v>25</v>
      </c>
      <c r="H7" s="32" t="n">
        <v>25</v>
      </c>
      <c r="I7" s="26" t="n">
        <f aca="false">F7*IF($D7="USD",Assumptions!$B$6*(1+Assumptions!$B$8),1)/IF($E7="year",12,1)</f>
        <v>7.2842</v>
      </c>
      <c r="J7" s="26" t="n">
        <f aca="false">G7*IF($D7="USD",Assumptions!$B$6*(1+Assumptions!$B$8),1)/IF($E7="year",12,1)</f>
        <v>26.015</v>
      </c>
      <c r="K7" s="26" t="n">
        <f aca="false">H7*IF($D7="USD",Assumptions!$B$6*(1+Assumptions!$B$8),1)/IF($E7="year",12,1)</f>
        <v>26.015</v>
      </c>
      <c r="L7" s="15" t="s">
        <v>246</v>
      </c>
    </row>
    <row r="8" customFormat="false" ht="15" hidden="false" customHeight="false" outlineLevel="0" collapsed="false">
      <c r="A8" s="5" t="s">
        <v>247</v>
      </c>
      <c r="B8" s="5" t="s">
        <v>240</v>
      </c>
      <c r="C8" s="30" t="s">
        <v>87</v>
      </c>
      <c r="D8" s="31" t="s">
        <v>214</v>
      </c>
      <c r="E8" s="31" t="s">
        <v>241</v>
      </c>
      <c r="F8" s="32" t="n">
        <v>0</v>
      </c>
      <c r="G8" s="32" t="n">
        <v>0</v>
      </c>
      <c r="H8" s="32" t="n">
        <v>19</v>
      </c>
      <c r="I8" s="26" t="n">
        <f aca="false">F8*IF($D8="USD",Assumptions!$B$6*(1+Assumptions!$B$8),1)/IF($E8="year",12,1)</f>
        <v>0</v>
      </c>
      <c r="J8" s="26" t="n">
        <f aca="false">G8*IF($D8="USD",Assumptions!$B$6*(1+Assumptions!$B$8),1)/IF($E8="year",12,1)</f>
        <v>0</v>
      </c>
      <c r="K8" s="26" t="n">
        <f aca="false">H8*IF($D8="USD",Assumptions!$B$6*(1+Assumptions!$B$8),1)/IF($E8="year",12,1)</f>
        <v>19.7714</v>
      </c>
      <c r="L8" s="15" t="s">
        <v>248</v>
      </c>
    </row>
    <row r="9" customFormat="false" ht="15" hidden="false" customHeight="false" outlineLevel="0" collapsed="false">
      <c r="A9" s="5" t="s">
        <v>249</v>
      </c>
      <c r="B9" s="5" t="s">
        <v>240</v>
      </c>
      <c r="C9" s="30" t="s">
        <v>87</v>
      </c>
      <c r="D9" s="31" t="s">
        <v>214</v>
      </c>
      <c r="E9" s="31" t="s">
        <v>241</v>
      </c>
      <c r="F9" s="32" t="n">
        <v>20</v>
      </c>
      <c r="G9" s="32" t="n">
        <v>20</v>
      </c>
      <c r="H9" s="32" t="n">
        <v>20</v>
      </c>
      <c r="I9" s="26" t="n">
        <f aca="false">F9*IF($D9="USD",Assumptions!$B$6*(1+Assumptions!$B$8),1)/IF($E9="year",12,1)</f>
        <v>20.812</v>
      </c>
      <c r="J9" s="26" t="n">
        <f aca="false">G9*IF($D9="USD",Assumptions!$B$6*(1+Assumptions!$B$8),1)/IF($E9="year",12,1)</f>
        <v>20.812</v>
      </c>
      <c r="K9" s="26" t="n">
        <f aca="false">H9*IF($D9="USD",Assumptions!$B$6*(1+Assumptions!$B$8),1)/IF($E9="year",12,1)</f>
        <v>20.812</v>
      </c>
      <c r="L9" s="15" t="s">
        <v>250</v>
      </c>
    </row>
    <row r="10" customFormat="false" ht="26.85" hidden="false" customHeight="false" outlineLevel="0" collapsed="false">
      <c r="A10" s="5" t="s">
        <v>251</v>
      </c>
      <c r="B10" s="5" t="s">
        <v>240</v>
      </c>
      <c r="C10" s="30" t="s">
        <v>87</v>
      </c>
      <c r="D10" s="31" t="s">
        <v>214</v>
      </c>
      <c r="E10" s="31" t="s">
        <v>241</v>
      </c>
      <c r="F10" s="32" t="n">
        <v>25</v>
      </c>
      <c r="G10" s="32" t="n">
        <v>30</v>
      </c>
      <c r="H10" s="32" t="n">
        <v>75</v>
      </c>
      <c r="I10" s="26" t="n">
        <f aca="false">F10*IF($D10="USD",Assumptions!$B$6*(1+Assumptions!$B$8),1)/IF($E10="year",12,1)</f>
        <v>26.015</v>
      </c>
      <c r="J10" s="26" t="n">
        <f aca="false">G10*IF($D10="USD",Assumptions!$B$6*(1+Assumptions!$B$8),1)/IF($E10="year",12,1)</f>
        <v>31.218</v>
      </c>
      <c r="K10" s="26" t="n">
        <f aca="false">H10*IF($D10="USD",Assumptions!$B$6*(1+Assumptions!$B$8),1)/IF($E10="year",12,1)</f>
        <v>78.045</v>
      </c>
      <c r="L10" s="15" t="s">
        <v>252</v>
      </c>
    </row>
    <row r="11" customFormat="false" ht="15" hidden="false" customHeight="false" outlineLevel="0" collapsed="false">
      <c r="A11" s="5" t="s">
        <v>253</v>
      </c>
      <c r="B11" s="5" t="s">
        <v>240</v>
      </c>
      <c r="C11" s="30" t="s">
        <v>87</v>
      </c>
      <c r="D11" s="31" t="s">
        <v>214</v>
      </c>
      <c r="E11" s="31" t="s">
        <v>241</v>
      </c>
      <c r="F11" s="32" t="n">
        <v>0</v>
      </c>
      <c r="G11" s="32" t="n">
        <v>20</v>
      </c>
      <c r="H11" s="32" t="n">
        <v>20</v>
      </c>
      <c r="I11" s="26" t="n">
        <f aca="false">F11*IF($D11="USD",Assumptions!$B$6*(1+Assumptions!$B$8),1)/IF($E11="year",12,1)</f>
        <v>0</v>
      </c>
      <c r="J11" s="26" t="n">
        <f aca="false">G11*IF($D11="USD",Assumptions!$B$6*(1+Assumptions!$B$8),1)/IF($E11="year",12,1)</f>
        <v>20.812</v>
      </c>
      <c r="K11" s="26" t="n">
        <f aca="false">H11*IF($D11="USD",Assumptions!$B$6*(1+Assumptions!$B$8),1)/IF($E11="year",12,1)</f>
        <v>20.812</v>
      </c>
      <c r="L11" s="15" t="s">
        <v>254</v>
      </c>
    </row>
    <row r="12" customFormat="false" ht="15" hidden="false" customHeight="false" outlineLevel="0" collapsed="false">
      <c r="A12" s="5" t="s">
        <v>255</v>
      </c>
      <c r="B12" s="5" t="s">
        <v>240</v>
      </c>
      <c r="C12" s="30" t="s">
        <v>87</v>
      </c>
      <c r="D12" s="31" t="s">
        <v>214</v>
      </c>
      <c r="E12" s="31" t="s">
        <v>241</v>
      </c>
      <c r="F12" s="32" t="n">
        <v>0</v>
      </c>
      <c r="G12" s="32" t="n">
        <v>0</v>
      </c>
      <c r="H12" s="32" t="n">
        <v>26</v>
      </c>
      <c r="I12" s="26" t="n">
        <f aca="false">F12*IF($D12="USD",Assumptions!$B$6*(1+Assumptions!$B$8),1)/IF($E12="year",12,1)</f>
        <v>0</v>
      </c>
      <c r="J12" s="26" t="n">
        <f aca="false">G12*IF($D12="USD",Assumptions!$B$6*(1+Assumptions!$B$8),1)/IF($E12="year",12,1)</f>
        <v>0</v>
      </c>
      <c r="K12" s="26" t="n">
        <f aca="false">H12*IF($D12="USD",Assumptions!$B$6*(1+Assumptions!$B$8),1)/IF($E12="year",12,1)</f>
        <v>27.0556</v>
      </c>
      <c r="L12" s="15" t="s">
        <v>256</v>
      </c>
    </row>
    <row r="13" customFormat="false" ht="15" hidden="false" customHeight="false" outlineLevel="0" collapsed="false">
      <c r="A13" s="5" t="s">
        <v>257</v>
      </c>
      <c r="B13" s="5" t="s">
        <v>258</v>
      </c>
      <c r="C13" s="30" t="s">
        <v>87</v>
      </c>
      <c r="D13" s="31" t="s">
        <v>214</v>
      </c>
      <c r="E13" s="31" t="s">
        <v>241</v>
      </c>
      <c r="F13" s="32" t="n">
        <v>2</v>
      </c>
      <c r="G13" s="32" t="n">
        <v>5</v>
      </c>
      <c r="H13" s="32" t="n">
        <v>10</v>
      </c>
      <c r="I13" s="26" t="n">
        <f aca="false">F13*IF($D13="USD",Assumptions!$B$6*(1+Assumptions!$B$8),1)/IF($E13="year",12,1)</f>
        <v>2.0812</v>
      </c>
      <c r="J13" s="26" t="n">
        <f aca="false">G13*IF($D13="USD",Assumptions!$B$6*(1+Assumptions!$B$8),1)/IF($E13="year",12,1)</f>
        <v>5.203</v>
      </c>
      <c r="K13" s="26" t="n">
        <f aca="false">H13*IF($D13="USD",Assumptions!$B$6*(1+Assumptions!$B$8),1)/IF($E13="year",12,1)</f>
        <v>10.406</v>
      </c>
      <c r="L13" s="15" t="s">
        <v>259</v>
      </c>
    </row>
    <row r="14" customFormat="false" ht="26.85" hidden="false" customHeight="false" outlineLevel="0" collapsed="false">
      <c r="A14" s="5" t="s">
        <v>260</v>
      </c>
      <c r="B14" s="5" t="s">
        <v>258</v>
      </c>
      <c r="C14" s="30" t="s">
        <v>200</v>
      </c>
      <c r="D14" s="31" t="s">
        <v>214</v>
      </c>
      <c r="E14" s="31" t="s">
        <v>241</v>
      </c>
      <c r="F14" s="32" t="n">
        <v>3.5</v>
      </c>
      <c r="G14" s="32" t="n">
        <v>7</v>
      </c>
      <c r="H14" s="32" t="n">
        <v>14</v>
      </c>
      <c r="I14" s="26" t="n">
        <f aca="false">F14*IF($D14="USD",Assumptions!$B$6*(1+Assumptions!$B$8),1)/IF($E14="year",12,1)</f>
        <v>3.6421</v>
      </c>
      <c r="J14" s="26" t="n">
        <f aca="false">G14*IF($D14="USD",Assumptions!$B$6*(1+Assumptions!$B$8),1)/IF($E14="year",12,1)</f>
        <v>7.2842</v>
      </c>
      <c r="K14" s="26" t="n">
        <f aca="false">H14*IF($D14="USD",Assumptions!$B$6*(1+Assumptions!$B$8),1)/IF($E14="year",12,1)</f>
        <v>14.5684</v>
      </c>
      <c r="L14" s="15" t="s">
        <v>261</v>
      </c>
    </row>
    <row r="15" customFormat="false" ht="15" hidden="false" customHeight="false" outlineLevel="0" collapsed="false">
      <c r="A15" s="5" t="s">
        <v>262</v>
      </c>
      <c r="B15" s="5" t="s">
        <v>263</v>
      </c>
      <c r="C15" s="30" t="s">
        <v>87</v>
      </c>
      <c r="D15" s="31" t="s">
        <v>214</v>
      </c>
      <c r="E15" s="31" t="s">
        <v>264</v>
      </c>
      <c r="F15" s="32" t="n">
        <v>15</v>
      </c>
      <c r="G15" s="32" t="n">
        <v>15</v>
      </c>
      <c r="H15" s="32" t="n">
        <v>15</v>
      </c>
      <c r="I15" s="26" t="n">
        <f aca="false">F15*IF($D15="USD",Assumptions!$B$6*(1+Assumptions!$B$8),1)/IF($E15="year",12,1)</f>
        <v>1.30075</v>
      </c>
      <c r="J15" s="26" t="n">
        <f aca="false">G15*IF($D15="USD",Assumptions!$B$6*(1+Assumptions!$B$8),1)/IF($E15="year",12,1)</f>
        <v>1.30075</v>
      </c>
      <c r="K15" s="26" t="n">
        <f aca="false">H15*IF($D15="USD",Assumptions!$B$6*(1+Assumptions!$B$8),1)/IF($E15="year",12,1)</f>
        <v>1.30075</v>
      </c>
      <c r="L15" s="15" t="s">
        <v>265</v>
      </c>
    </row>
    <row r="16" customFormat="false" ht="15" hidden="false" customHeight="false" outlineLevel="0" collapsed="false">
      <c r="A16" s="5" t="s">
        <v>266</v>
      </c>
      <c r="B16" s="5" t="s">
        <v>263</v>
      </c>
      <c r="C16" s="30" t="s">
        <v>87</v>
      </c>
      <c r="D16" s="31" t="s">
        <v>191</v>
      </c>
      <c r="E16" s="31" t="s">
        <v>241</v>
      </c>
      <c r="F16" s="32" t="n">
        <v>0</v>
      </c>
      <c r="G16" s="32" t="n">
        <v>0</v>
      </c>
      <c r="H16" s="32" t="n">
        <v>7</v>
      </c>
      <c r="I16" s="26" t="n">
        <f aca="false">F16*IF($D16="USD",Assumptions!$B$6*(1+Assumptions!$B$8),1)/IF($E16="year",12,1)</f>
        <v>0</v>
      </c>
      <c r="J16" s="26" t="n">
        <f aca="false">G16*IF($D16="USD",Assumptions!$B$6*(1+Assumptions!$B$8),1)/IF($E16="year",12,1)</f>
        <v>0</v>
      </c>
      <c r="K16" s="26" t="n">
        <f aca="false">H16*IF($D16="USD",Assumptions!$B$6*(1+Assumptions!$B$8),1)/IF($E16="year",12,1)</f>
        <v>7</v>
      </c>
      <c r="L16" s="15" t="s">
        <v>267</v>
      </c>
    </row>
    <row r="17" customFormat="false" ht="15" hidden="false" customHeight="false" outlineLevel="0" collapsed="false">
      <c r="A17" s="5" t="s">
        <v>268</v>
      </c>
      <c r="B17" s="5" t="s">
        <v>269</v>
      </c>
      <c r="C17" s="30" t="s">
        <v>87</v>
      </c>
      <c r="D17" s="31" t="s">
        <v>214</v>
      </c>
      <c r="E17" s="31" t="s">
        <v>264</v>
      </c>
      <c r="F17" s="32" t="n">
        <v>99</v>
      </c>
      <c r="G17" s="32" t="n">
        <v>99</v>
      </c>
      <c r="H17" s="32" t="n">
        <v>99</v>
      </c>
      <c r="I17" s="26" t="n">
        <f aca="false">F17*IF($D17="USD",Assumptions!$B$6*(1+Assumptions!$B$8),1)/IF($E17="year",12,1)</f>
        <v>8.58495</v>
      </c>
      <c r="J17" s="26" t="n">
        <f aca="false">G17*IF($D17="USD",Assumptions!$B$6*(1+Assumptions!$B$8),1)/IF($E17="year",12,1)</f>
        <v>8.58495</v>
      </c>
      <c r="K17" s="26" t="n">
        <f aca="false">H17*IF($D17="USD",Assumptions!$B$6*(1+Assumptions!$B$8),1)/IF($E17="year",12,1)</f>
        <v>8.58495</v>
      </c>
      <c r="L17" s="15" t="s">
        <v>270</v>
      </c>
    </row>
    <row r="18" customFormat="false" ht="26.85" hidden="false" customHeight="false" outlineLevel="0" collapsed="false">
      <c r="A18" s="5" t="s">
        <v>271</v>
      </c>
      <c r="B18" s="5" t="s">
        <v>272</v>
      </c>
      <c r="C18" s="30" t="s">
        <v>87</v>
      </c>
      <c r="D18" s="31" t="s">
        <v>191</v>
      </c>
      <c r="E18" s="31" t="s">
        <v>241</v>
      </c>
      <c r="F18" s="32" t="n">
        <v>50</v>
      </c>
      <c r="G18" s="32" t="n">
        <v>100</v>
      </c>
      <c r="H18" s="32" t="n">
        <v>200</v>
      </c>
      <c r="I18" s="26" t="n">
        <f aca="false">F18*IF($D18="USD",Assumptions!$B$6*(1+Assumptions!$B$8),1)/IF($E18="year",12,1)</f>
        <v>50</v>
      </c>
      <c r="J18" s="26" t="n">
        <f aca="false">G18*IF($D18="USD",Assumptions!$B$6*(1+Assumptions!$B$8),1)/IF($E18="year",12,1)</f>
        <v>100</v>
      </c>
      <c r="K18" s="26" t="n">
        <f aca="false">H18*IF($D18="USD",Assumptions!$B$6*(1+Assumptions!$B$8),1)/IF($E18="year",12,1)</f>
        <v>200</v>
      </c>
      <c r="L18" s="15" t="s">
        <v>273</v>
      </c>
    </row>
    <row r="19" customFormat="false" ht="15" hidden="false" customHeight="false" outlineLevel="0" collapsed="false">
      <c r="A19" s="5" t="s">
        <v>274</v>
      </c>
      <c r="B19" s="5" t="s">
        <v>272</v>
      </c>
      <c r="C19" s="30" t="s">
        <v>87</v>
      </c>
      <c r="D19" s="31" t="s">
        <v>191</v>
      </c>
      <c r="E19" s="31" t="s">
        <v>241</v>
      </c>
      <c r="F19" s="32" t="n">
        <v>5</v>
      </c>
      <c r="G19" s="32" t="n">
        <v>10</v>
      </c>
      <c r="H19" s="32" t="n">
        <v>15</v>
      </c>
      <c r="I19" s="26" t="n">
        <f aca="false">F19*IF($D19="USD",Assumptions!$B$6*(1+Assumptions!$B$8),1)/IF($E19="year",12,1)</f>
        <v>5</v>
      </c>
      <c r="J19" s="26" t="n">
        <f aca="false">G19*IF($D19="USD",Assumptions!$B$6*(1+Assumptions!$B$8),1)/IF($E19="year",12,1)</f>
        <v>10</v>
      </c>
      <c r="K19" s="26" t="n">
        <f aca="false">H19*IF($D19="USD",Assumptions!$B$6*(1+Assumptions!$B$8),1)/IF($E19="year",12,1)</f>
        <v>15</v>
      </c>
      <c r="L19" s="15" t="s">
        <v>275</v>
      </c>
    </row>
    <row r="20" customFormat="false" ht="15" hidden="false" customHeight="false" outlineLevel="0" collapsed="false">
      <c r="A20" s="5" t="s">
        <v>276</v>
      </c>
      <c r="B20" s="5" t="s">
        <v>272</v>
      </c>
      <c r="C20" s="30" t="s">
        <v>200</v>
      </c>
      <c r="D20" s="31" t="s">
        <v>191</v>
      </c>
      <c r="E20" s="31" t="s">
        <v>241</v>
      </c>
      <c r="F20" s="32" t="n">
        <v>0</v>
      </c>
      <c r="G20" s="32" t="n">
        <v>25</v>
      </c>
      <c r="H20" s="32" t="n">
        <v>40</v>
      </c>
      <c r="I20" s="26" t="n">
        <f aca="false">F20*IF($D20="USD",Assumptions!$B$6*(1+Assumptions!$B$8),1)/IF($E20="year",12,1)</f>
        <v>0</v>
      </c>
      <c r="J20" s="26" t="n">
        <f aca="false">G20*IF($D20="USD",Assumptions!$B$6*(1+Assumptions!$B$8),1)/IF($E20="year",12,1)</f>
        <v>25</v>
      </c>
      <c r="K20" s="26" t="n">
        <f aca="false">H20*IF($D20="USD",Assumptions!$B$6*(1+Assumptions!$B$8),1)/IF($E20="year",12,1)</f>
        <v>40</v>
      </c>
      <c r="L20" s="15" t="s">
        <v>277</v>
      </c>
    </row>
    <row r="21" customFormat="false" ht="15" hidden="false" customHeight="false" outlineLevel="0" collapsed="false">
      <c r="A21" s="5" t="s">
        <v>278</v>
      </c>
      <c r="B21" s="5" t="s">
        <v>272</v>
      </c>
      <c r="C21" s="30" t="s">
        <v>87</v>
      </c>
      <c r="D21" s="31" t="s">
        <v>214</v>
      </c>
      <c r="E21" s="31" t="s">
        <v>241</v>
      </c>
      <c r="F21" s="34" t="n">
        <v>100</v>
      </c>
      <c r="G21" s="34" t="n">
        <v>100</v>
      </c>
      <c r="H21" s="34" t="n">
        <v>200</v>
      </c>
      <c r="I21" s="26" t="n">
        <f aca="false">F21*IF($D21="USD",Assumptions!$B$6*(1+Assumptions!$B$8),1)/IF($E21="year",12,1)</f>
        <v>104.06</v>
      </c>
      <c r="J21" s="26" t="n">
        <f aca="false">G21*IF($D21="USD",Assumptions!$B$6*(1+Assumptions!$B$8),1)/IF($E21="year",12,1)</f>
        <v>104.06</v>
      </c>
      <c r="K21" s="26" t="n">
        <f aca="false">H21*IF($D21="USD",Assumptions!$B$6*(1+Assumptions!$B$8),1)/IF($E21="year",12,1)</f>
        <v>208.12</v>
      </c>
      <c r="L21" s="15" t="s">
        <v>279</v>
      </c>
    </row>
    <row r="22" customFormat="false" ht="15" hidden="false" customHeight="false" outlineLevel="0" collapsed="false">
      <c r="A22" s="5" t="s">
        <v>280</v>
      </c>
      <c r="B22" s="5" t="s">
        <v>226</v>
      </c>
      <c r="C22" s="30" t="s">
        <v>200</v>
      </c>
      <c r="D22" s="31" t="s">
        <v>191</v>
      </c>
      <c r="E22" s="31" t="s">
        <v>241</v>
      </c>
      <c r="F22" s="32" t="n">
        <v>0</v>
      </c>
      <c r="G22" s="32" t="n">
        <v>200</v>
      </c>
      <c r="H22" s="32" t="n">
        <v>1000</v>
      </c>
      <c r="I22" s="26" t="n">
        <f aca="false">F22*IF($D22="USD",Assumptions!$B$6*(1+Assumptions!$B$8),1)/IF($E22="year",12,1)</f>
        <v>0</v>
      </c>
      <c r="J22" s="26" t="n">
        <f aca="false">G22*IF($D22="USD",Assumptions!$B$6*(1+Assumptions!$B$8),1)/IF($E22="year",12,1)</f>
        <v>200</v>
      </c>
      <c r="K22" s="26" t="n">
        <f aca="false">H22*IF($D22="USD",Assumptions!$B$6*(1+Assumptions!$B$8),1)/IF($E22="year",12,1)</f>
        <v>1000</v>
      </c>
      <c r="L22" s="15" t="s">
        <v>281</v>
      </c>
    </row>
    <row r="24" customFormat="false" ht="15" hidden="false" customHeight="false" outlineLevel="0" collapsed="false">
      <c r="A24" s="7" t="s">
        <v>282</v>
      </c>
      <c r="I24" s="33" t="n">
        <f aca="false">SUMIFS(I5:I22,$C$5:$C$22,"Y")</f>
        <v>232.68245</v>
      </c>
      <c r="J24" s="33" t="n">
        <f aca="false">SUMIFS(J5:J22,$C$5:$C$22,"Y")</f>
        <v>355.32145</v>
      </c>
      <c r="K24" s="33" t="n">
        <f aca="false">SUMIFS(K5:K22,$C$5:$C$22,"Y")</f>
        <v>736.5767</v>
      </c>
    </row>
    <row r="25" customFormat="false" ht="15" hidden="false" customHeight="false" outlineLevel="0" collapsed="false">
      <c r="A25" s="7" t="s">
        <v>283</v>
      </c>
      <c r="I25" s="33" t="n">
        <f aca="false">I24*12</f>
        <v>2792.1894</v>
      </c>
      <c r="J25" s="33" t="n">
        <f aca="false">J24*12</f>
        <v>4263.8574</v>
      </c>
      <c r="K25" s="33" t="n">
        <f aca="false">K24*12</f>
        <v>8838.9204</v>
      </c>
    </row>
    <row r="26" customFormat="false" ht="15" hidden="false" customHeight="false" outlineLevel="0" collapsed="false">
      <c r="A26" s="7" t="s">
        <v>284</v>
      </c>
      <c r="I26" s="33" t="n">
        <f aca="false">SUM(I5:I22)</f>
        <v>236.32455</v>
      </c>
      <c r="J26" s="33" t="n">
        <f aca="false">SUM(J5:J22)</f>
        <v>587.60565</v>
      </c>
      <c r="K26" s="33" t="n">
        <f aca="false">SUM(K5:K22)</f>
        <v>1791.1451</v>
      </c>
    </row>
    <row r="28" customFormat="false" ht="15" hidden="false" customHeight="false" outlineLevel="0" collapsed="false">
      <c r="A28" s="25" t="s">
        <v>285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19" min="3" style="0" width="13"/>
  </cols>
  <sheetData>
    <row r="1" customFormat="false" ht="17.35" hidden="false" customHeight="false" outlineLevel="0" collapsed="false">
      <c r="A1" s="1" t="s">
        <v>286</v>
      </c>
    </row>
    <row r="2" customFormat="false" ht="15" hidden="false" customHeight="false" outlineLevel="0" collapsed="false">
      <c r="A2" s="2" t="s">
        <v>287</v>
      </c>
    </row>
    <row r="4" customFormat="false" ht="57.75" hidden="false" customHeight="true" outlineLevel="0" collapsed="false">
      <c r="A4" s="13" t="s">
        <v>130</v>
      </c>
      <c r="B4" s="13" t="s">
        <v>131</v>
      </c>
      <c r="C4" s="13" t="s">
        <v>288</v>
      </c>
      <c r="D4" s="13" t="s">
        <v>289</v>
      </c>
      <c r="E4" s="13" t="s">
        <v>290</v>
      </c>
      <c r="F4" s="13" t="s">
        <v>291</v>
      </c>
      <c r="G4" s="13" t="s">
        <v>292</v>
      </c>
      <c r="H4" s="13" t="s">
        <v>293</v>
      </c>
      <c r="I4" s="13" t="s">
        <v>294</v>
      </c>
      <c r="J4" s="13" t="s">
        <v>295</v>
      </c>
      <c r="K4" s="13" t="s">
        <v>296</v>
      </c>
      <c r="L4" s="13" t="s">
        <v>297</v>
      </c>
      <c r="M4" s="13" t="s">
        <v>298</v>
      </c>
      <c r="N4" s="13" t="s">
        <v>299</v>
      </c>
      <c r="O4" s="13" t="s">
        <v>300</v>
      </c>
      <c r="P4" s="13" t="s">
        <v>301</v>
      </c>
      <c r="Q4" s="13" t="s">
        <v>302</v>
      </c>
      <c r="R4" s="13" t="s">
        <v>303</v>
      </c>
      <c r="S4" s="13" t="s">
        <v>304</v>
      </c>
    </row>
    <row r="5" customFormat="false" ht="15" hidden="false" customHeight="false" outlineLevel="0" collapsed="false">
      <c r="A5" s="5" t="s">
        <v>138</v>
      </c>
      <c r="B5" s="5" t="s">
        <v>139</v>
      </c>
      <c r="C5" s="6" t="n">
        <f aca="false">Assumptions!$B$10</f>
        <v>8.99</v>
      </c>
      <c r="D5" s="31" t="n">
        <v>1</v>
      </c>
      <c r="E5" s="35" t="n">
        <f aca="false">1/D5</f>
        <v>1</v>
      </c>
      <c r="F5" s="26" t="n">
        <f aca="false">C5/D5</f>
        <v>8.99</v>
      </c>
      <c r="G5" s="26" t="n">
        <f aca="false">F5-H5</f>
        <v>1.5602479338843</v>
      </c>
      <c r="H5" s="26" t="n">
        <f aca="false">F5/(1+Assumptions!$B$7)</f>
        <v>7.4297520661157</v>
      </c>
      <c r="I5" s="26" t="n">
        <f aca="false">H5*Assumptions!$B$21</f>
        <v>1.11446280991736</v>
      </c>
      <c r="J5" s="26" t="n">
        <f aca="false">F5*(Assumptions!$B$22+Assumptions!$B$24)+Assumptions!$B$23*E5</f>
        <v>0.44778</v>
      </c>
      <c r="K5" s="26" t="n">
        <f aca="false">Assumptions!$B$19*I5+(1-Assumptions!$B$19)*J5</f>
        <v>0.847789685950413</v>
      </c>
      <c r="L5" s="26" t="n">
        <f aca="false">H5-K5</f>
        <v>6.58196238016529</v>
      </c>
      <c r="M5" s="26" t="n">
        <f aca="false">Assumptions!$B$31*Assumptions!$B$6*(1+Assumptions!$B$8)</f>
        <v>0.280962</v>
      </c>
      <c r="N5" s="26" t="n">
        <f aca="false">Assumptions!$B$36</f>
        <v>0.02</v>
      </c>
      <c r="O5" s="26" t="n">
        <f aca="false">L5-M5-N5</f>
        <v>6.28100038016529</v>
      </c>
      <c r="P5" s="27" t="n">
        <f aca="false">IF(F5=0,0,O5/F5)</f>
        <v>0.698665225824838</v>
      </c>
      <c r="Q5" s="26" t="n">
        <f aca="false">Assumptions!$B$32*Assumptions!$B$6*(1+Assumptions!$B$8)</f>
        <v>1.383998</v>
      </c>
      <c r="R5" s="26" t="n">
        <f aca="false">L5-Q5-N5</f>
        <v>5.17796438016529</v>
      </c>
    </row>
    <row r="6" customFormat="false" ht="15" hidden="false" customHeight="false" outlineLevel="0" collapsed="false">
      <c r="A6" s="5" t="s">
        <v>138</v>
      </c>
      <c r="B6" s="5" t="s">
        <v>140</v>
      </c>
      <c r="C6" s="6" t="n">
        <f aca="false">Assumptions!$B$11</f>
        <v>59.99</v>
      </c>
      <c r="D6" s="31" t="n">
        <v>12</v>
      </c>
      <c r="E6" s="35" t="n">
        <f aca="false">1/D6</f>
        <v>0.0833333333333333</v>
      </c>
      <c r="F6" s="26" t="n">
        <f aca="false">C6/D6</f>
        <v>4.99916666666667</v>
      </c>
      <c r="G6" s="26" t="n">
        <f aca="false">F6-H6</f>
        <v>0.867623966942149</v>
      </c>
      <c r="H6" s="26" t="n">
        <f aca="false">F6/(1+Assumptions!$B$7)</f>
        <v>4.13154269972452</v>
      </c>
      <c r="I6" s="26" t="n">
        <f aca="false">H6*Assumptions!$B$21</f>
        <v>0.619731404958678</v>
      </c>
      <c r="J6" s="26" t="n">
        <f aca="false">F6*(Assumptions!$B$22+Assumptions!$B$24)+Assumptions!$B$23*E6</f>
        <v>0.130815</v>
      </c>
      <c r="K6" s="26" t="n">
        <f aca="false">Assumptions!$B$19*I6+(1-Assumptions!$B$19)*J6</f>
        <v>0.424164842975207</v>
      </c>
      <c r="L6" s="26" t="n">
        <f aca="false">H6-K6</f>
        <v>3.70737785674931</v>
      </c>
      <c r="M6" s="26" t="n">
        <f aca="false">Assumptions!$B$31*Assumptions!$B$6*(1+Assumptions!$B$8)</f>
        <v>0.280962</v>
      </c>
      <c r="N6" s="26" t="n">
        <f aca="false">Assumptions!$B$36</f>
        <v>0.02</v>
      </c>
      <c r="O6" s="26" t="n">
        <f aca="false">L6-M6-N6</f>
        <v>3.40641585674931</v>
      </c>
      <c r="P6" s="27" t="n">
        <f aca="false">IF(F6=0,0,O6/F6)</f>
        <v>0.681396737472774</v>
      </c>
      <c r="Q6" s="26" t="n">
        <f aca="false">Assumptions!$B$32*Assumptions!$B$6*(1+Assumptions!$B$8)</f>
        <v>1.383998</v>
      </c>
      <c r="R6" s="26" t="n">
        <f aca="false">L6-Q6-N6</f>
        <v>2.30337985674931</v>
      </c>
      <c r="S6" s="27" t="n">
        <f aca="false">1-C6/(12*C5)</f>
        <v>0.443919169447534</v>
      </c>
    </row>
    <row r="7" customFormat="false" ht="15" hidden="false" customHeight="false" outlineLevel="0" collapsed="false">
      <c r="A7" s="5" t="s">
        <v>141</v>
      </c>
      <c r="B7" s="5" t="s">
        <v>139</v>
      </c>
      <c r="C7" s="6" t="n">
        <f aca="false">Assumptions!$B$12</f>
        <v>14.99</v>
      </c>
      <c r="D7" s="31" t="n">
        <v>1</v>
      </c>
      <c r="E7" s="35" t="n">
        <f aca="false">1/D7</f>
        <v>1</v>
      </c>
      <c r="F7" s="26" t="n">
        <f aca="false">C7/D7</f>
        <v>14.99</v>
      </c>
      <c r="G7" s="26" t="n">
        <f aca="false">F7-H7</f>
        <v>2.60157024793388</v>
      </c>
      <c r="H7" s="26" t="n">
        <f aca="false">F7/(1+Assumptions!$B$7)</f>
        <v>12.3884297520661</v>
      </c>
      <c r="I7" s="26" t="n">
        <f aca="false">H7*Assumptions!$B$21</f>
        <v>1.85826446280992</v>
      </c>
      <c r="J7" s="26" t="n">
        <f aca="false">F7*(Assumptions!$B$22+Assumptions!$B$24)+Assumptions!$B$23*E7</f>
        <v>0.57978</v>
      </c>
      <c r="K7" s="26" t="n">
        <f aca="false">Assumptions!$B$19*I7+(1-Assumptions!$B$19)*J7</f>
        <v>1.34687067768595</v>
      </c>
      <c r="L7" s="26" t="n">
        <f aca="false">H7-K7</f>
        <v>11.0415590743802</v>
      </c>
      <c r="M7" s="26" t="n">
        <f aca="false">Assumptions!$B$33*Assumptions!$B$6*(1+Assumptions!$B$8)</f>
        <v>0.457864</v>
      </c>
      <c r="N7" s="26" t="n">
        <f aca="false">Assumptions!$B$36</f>
        <v>0.02</v>
      </c>
      <c r="O7" s="26" t="n">
        <f aca="false">L7-M7-N7</f>
        <v>10.5636950743802</v>
      </c>
      <c r="P7" s="27" t="n">
        <f aca="false">IF(F7=0,0,O7/F7)</f>
        <v>0.70471614905805</v>
      </c>
      <c r="Q7" s="26" t="n">
        <f aca="false">Assumptions!$B$34*Assumptions!$B$6*(1+Assumptions!$B$8)</f>
        <v>3.32992</v>
      </c>
      <c r="R7" s="26" t="n">
        <f aca="false">L7-Q7-N7</f>
        <v>7.69163907438017</v>
      </c>
    </row>
    <row r="8" customFormat="false" ht="15" hidden="false" customHeight="false" outlineLevel="0" collapsed="false">
      <c r="A8" s="5" t="s">
        <v>141</v>
      </c>
      <c r="B8" s="5" t="s">
        <v>140</v>
      </c>
      <c r="C8" s="6" t="n">
        <f aca="false">Assumptions!$B$13</f>
        <v>99.99</v>
      </c>
      <c r="D8" s="31" t="n">
        <v>12</v>
      </c>
      <c r="E8" s="35" t="n">
        <f aca="false">1/D8</f>
        <v>0.0833333333333333</v>
      </c>
      <c r="F8" s="26" t="n">
        <f aca="false">C8/D8</f>
        <v>8.3325</v>
      </c>
      <c r="G8" s="26" t="n">
        <f aca="false">F8-H8</f>
        <v>1.44613636363636</v>
      </c>
      <c r="H8" s="26" t="n">
        <f aca="false">F8/(1+Assumptions!$B$7)</f>
        <v>6.88636363636364</v>
      </c>
      <c r="I8" s="26" t="n">
        <f aca="false">H8*Assumptions!$B$21</f>
        <v>1.03295454545455</v>
      </c>
      <c r="J8" s="26" t="n">
        <f aca="false">F8*(Assumptions!$B$22+Assumptions!$B$24)+Assumptions!$B$23*E8</f>
        <v>0.204148333333333</v>
      </c>
      <c r="K8" s="26" t="n">
        <f aca="false">Assumptions!$B$19*I8+(1-Assumptions!$B$19)*J8</f>
        <v>0.70143206060606</v>
      </c>
      <c r="L8" s="26" t="n">
        <f aca="false">H8-K8</f>
        <v>6.18493157575758</v>
      </c>
      <c r="M8" s="26" t="n">
        <f aca="false">Assumptions!$B$33*Assumptions!$B$6*(1+Assumptions!$B$8)</f>
        <v>0.457864</v>
      </c>
      <c r="N8" s="26" t="n">
        <f aca="false">Assumptions!$B$36</f>
        <v>0.02</v>
      </c>
      <c r="O8" s="26" t="n">
        <f aca="false">L8-M8-N8</f>
        <v>5.70706757575758</v>
      </c>
      <c r="P8" s="27" t="n">
        <f aca="false">IF(F8=0,0,O8/F8)</f>
        <v>0.684916600750984</v>
      </c>
      <c r="Q8" s="26" t="n">
        <f aca="false">Assumptions!$B$34*Assumptions!$B$6*(1+Assumptions!$B$8)</f>
        <v>3.32992</v>
      </c>
      <c r="R8" s="26" t="n">
        <f aca="false">L8-Q8-N8</f>
        <v>2.83501157575758</v>
      </c>
      <c r="S8" s="27" t="n">
        <f aca="false">1-C8/(12*C7)</f>
        <v>0.444129419613075</v>
      </c>
    </row>
    <row r="10" customFormat="false" ht="15" hidden="false" customHeight="false" outlineLevel="0" collapsed="false">
      <c r="A10" s="7" t="s">
        <v>305</v>
      </c>
    </row>
    <row r="11" customFormat="false" ht="15" hidden="false" customHeight="false" outlineLevel="0" collapsed="false">
      <c r="A11" s="7" t="s">
        <v>138</v>
      </c>
      <c r="B11" s="7" t="s">
        <v>306</v>
      </c>
      <c r="F11" s="36" t="n">
        <f aca="false">(1-Assumptions!$B$17)*F5+Assumptions!$B$17*F6</f>
        <v>6.19641666666667</v>
      </c>
      <c r="G11" s="36" t="n">
        <f aca="false">(1-Assumptions!$B$17)*G5+Assumptions!$B$17*G6</f>
        <v>1.07541115702479</v>
      </c>
      <c r="H11" s="36" t="n">
        <f aca="false">(1-Assumptions!$B$17)*H5+Assumptions!$B$17*H6</f>
        <v>5.12100550964187</v>
      </c>
      <c r="K11" s="36" t="n">
        <f aca="false">(1-Assumptions!$B$17)*K5+Assumptions!$B$17*K6</f>
        <v>0.551252295867769</v>
      </c>
      <c r="L11" s="36" t="n">
        <f aca="false">(1-Assumptions!$B$17)*L5+Assumptions!$B$17*L6</f>
        <v>4.56975321377411</v>
      </c>
      <c r="M11" s="36" t="n">
        <f aca="false">(1-Assumptions!$B$17)*M5+Assumptions!$B$17*M6</f>
        <v>0.280962</v>
      </c>
      <c r="N11" s="36" t="n">
        <f aca="false">(1-Assumptions!$B$17)*N5+Assumptions!$B$17*N6</f>
        <v>0.02</v>
      </c>
      <c r="O11" s="36" t="n">
        <f aca="false">(1-Assumptions!$B$17)*O5+Assumptions!$B$17*O6</f>
        <v>4.2687912137741</v>
      </c>
      <c r="P11" s="37" t="n">
        <f aca="false">IF(F11=0,0,O11/F11)</f>
        <v>0.688912873909508</v>
      </c>
      <c r="Q11" s="36" t="n">
        <f aca="false">(1-Assumptions!$B$17)*Q5+Assumptions!$B$17*Q6</f>
        <v>1.383998</v>
      </c>
      <c r="R11" s="36" t="n">
        <f aca="false">(1-Assumptions!$B$17)*R5+Assumptions!$B$17*R6</f>
        <v>3.16575521377411</v>
      </c>
    </row>
    <row r="12" customFormat="false" ht="15" hidden="false" customHeight="false" outlineLevel="0" collapsed="false">
      <c r="A12" s="7" t="s">
        <v>141</v>
      </c>
      <c r="B12" s="7" t="s">
        <v>306</v>
      </c>
      <c r="F12" s="36" t="n">
        <f aca="false">(1-Assumptions!$B$18)*F7+Assumptions!$B$18*F8</f>
        <v>11.994125</v>
      </c>
      <c r="G12" s="36" t="n">
        <f aca="false">(1-Assumptions!$B$18)*G7+Assumptions!$B$18*G8</f>
        <v>2.081625</v>
      </c>
      <c r="H12" s="36" t="n">
        <f aca="false">(1-Assumptions!$B$18)*H7+Assumptions!$B$18*H8</f>
        <v>9.9125</v>
      </c>
      <c r="K12" s="36" t="n">
        <f aca="false">(1-Assumptions!$B$18)*K7+Assumptions!$B$18*K8</f>
        <v>1.0564233</v>
      </c>
      <c r="L12" s="36" t="n">
        <f aca="false">(1-Assumptions!$B$18)*L7+Assumptions!$B$18*L8</f>
        <v>8.8560767</v>
      </c>
      <c r="M12" s="36" t="n">
        <f aca="false">(1-Assumptions!$B$18)*M7+Assumptions!$B$18*M8</f>
        <v>0.457864</v>
      </c>
      <c r="N12" s="36" t="n">
        <f aca="false">(1-Assumptions!$B$18)*N7+Assumptions!$B$18*N8</f>
        <v>0.02</v>
      </c>
      <c r="O12" s="36" t="n">
        <f aca="false">(1-Assumptions!$B$18)*O7+Assumptions!$B$18*O8</f>
        <v>8.3782127</v>
      </c>
      <c r="P12" s="37" t="n">
        <f aca="false">IF(F12=0,0,O12/F12)</f>
        <v>0.698526378539493</v>
      </c>
      <c r="Q12" s="36" t="n">
        <f aca="false">(1-Assumptions!$B$18)*Q7+Assumptions!$B$18*Q8</f>
        <v>3.32992</v>
      </c>
      <c r="R12" s="36" t="n">
        <f aca="false">(1-Assumptions!$B$18)*R7+Assumptions!$B$18*R8</f>
        <v>5.5061567</v>
      </c>
    </row>
    <row r="13" customFormat="false" ht="15" hidden="false" customHeight="false" outlineLevel="0" collapsed="false">
      <c r="A13" s="7" t="s">
        <v>307</v>
      </c>
      <c r="B13" s="7" t="s">
        <v>306</v>
      </c>
      <c r="F13" s="36" t="n">
        <f aca="false">IF((Assumptions!$B$15+Assumptions!$B$16)=0,0,Assumptions!$B$15/(Assumptions!$B$15+Assumptions!$B$16)*F11+(1-Assumptions!$B$15/(Assumptions!$B$15+Assumptions!$B$16))*F12)</f>
        <v>7.25054545454546</v>
      </c>
      <c r="G13" s="36" t="n">
        <f aca="false">IF((Assumptions!$B$15+Assumptions!$B$16)=0,0,Assumptions!$B$15/(Assumptions!$B$15+Assumptions!$B$16)*G11+(1-Assumptions!$B$15/(Assumptions!$B$15+Assumptions!$B$16))*G12)</f>
        <v>1.25835912847483</v>
      </c>
      <c r="H13" s="36" t="n">
        <f aca="false">IF((Assumptions!$B$15+Assumptions!$B$16)=0,0,Assumptions!$B$15/(Assumptions!$B$15+Assumptions!$B$16)*H11+(1-Assumptions!$B$15/(Assumptions!$B$15+Assumptions!$B$16))*H12)</f>
        <v>5.99218632607063</v>
      </c>
      <c r="K13" s="36" t="n">
        <f aca="false">IF((Assumptions!$B$15+Assumptions!$B$16)=0,0,Assumptions!$B$15/(Assumptions!$B$15+Assumptions!$B$16)*K11+(1-Assumptions!$B$15/(Assumptions!$B$15+Assumptions!$B$16))*K12)</f>
        <v>0.643101569346356</v>
      </c>
      <c r="L13" s="36" t="n">
        <f aca="false">IF((Assumptions!$B$15+Assumptions!$B$16)=0,0,Assumptions!$B$15/(Assumptions!$B$15+Assumptions!$B$16)*L11+(1-Assumptions!$B$15/(Assumptions!$B$15+Assumptions!$B$16))*L12)</f>
        <v>5.34908475672427</v>
      </c>
      <c r="M13" s="36" t="n">
        <f aca="false">IF((Assumptions!$B$15+Assumptions!$B$16)=0,0,Assumptions!$B$15/(Assumptions!$B$15+Assumptions!$B$16)*M11+(1-Assumptions!$B$15/(Assumptions!$B$15+Assumptions!$B$16))*M12)</f>
        <v>0.313126</v>
      </c>
      <c r="N13" s="36" t="n">
        <f aca="false">IF((Assumptions!$B$15+Assumptions!$B$16)=0,0,Assumptions!$B$15/(Assumptions!$B$15+Assumptions!$B$16)*N11+(1-Assumptions!$B$15/(Assumptions!$B$15+Assumptions!$B$16))*N12)</f>
        <v>0.02</v>
      </c>
      <c r="O13" s="36" t="n">
        <f aca="false">IF((Assumptions!$B$15+Assumptions!$B$16)=0,0,Assumptions!$B$15/(Assumptions!$B$15+Assumptions!$B$16)*O11+(1-Assumptions!$B$15/(Assumptions!$B$15+Assumptions!$B$16))*O12)</f>
        <v>5.01595875672427</v>
      </c>
      <c r="P13" s="37" t="n">
        <f aca="false">IF(F13=0,0,O13/F13)</f>
        <v>0.691804332262989</v>
      </c>
      <c r="Q13" s="36" t="n">
        <f aca="false">IF((Assumptions!$B$15+Assumptions!$B$16)=0,0,Assumptions!$B$15/(Assumptions!$B$15+Assumptions!$B$16)*Q11+(1-Assumptions!$B$15/(Assumptions!$B$15+Assumptions!$B$16))*Q12)</f>
        <v>1.737802</v>
      </c>
      <c r="R13" s="36" t="n">
        <f aca="false">IF((Assumptions!$B$15+Assumptions!$B$16)=0,0,Assumptions!$B$15/(Assumptions!$B$15+Assumptions!$B$16)*R11+(1-Assumptions!$B$15/(Assumptions!$B$15+Assumptions!$B$16))*R12)</f>
        <v>3.59128275672427</v>
      </c>
    </row>
    <row r="15" customFormat="false" ht="15" hidden="false" customHeight="false" outlineLevel="0" collapsed="false">
      <c r="A15" s="3" t="s">
        <v>308</v>
      </c>
      <c r="B15" s="4"/>
      <c r="C15" s="4"/>
      <c r="D15" s="4"/>
      <c r="E15" s="4"/>
      <c r="F15" s="4"/>
      <c r="G15" s="4"/>
    </row>
    <row r="16" customFormat="false" ht="26.85" hidden="false" customHeight="false" outlineLevel="0" collapsed="false">
      <c r="A16" s="13" t="s">
        <v>309</v>
      </c>
      <c r="B16" s="13"/>
      <c r="C16" s="13" t="s">
        <v>310</v>
      </c>
      <c r="D16" s="13" t="s">
        <v>292</v>
      </c>
      <c r="E16" s="13" t="s">
        <v>311</v>
      </c>
      <c r="F16" s="13" t="s">
        <v>312</v>
      </c>
      <c r="G16" s="13" t="s">
        <v>313</v>
      </c>
    </row>
    <row r="17" customFormat="false" ht="15" hidden="false" customHeight="false" outlineLevel="0" collapsed="false">
      <c r="A17" s="5" t="s">
        <v>314</v>
      </c>
      <c r="C17" s="26" t="n">
        <f aca="false">C6</f>
        <v>59.99</v>
      </c>
      <c r="D17" s="26" t="n">
        <f aca="false">C6-C6/(1+Assumptions!$B$7)</f>
        <v>10.4114876033058</v>
      </c>
      <c r="E17" s="26" t="n">
        <f aca="false">C6/(1+Assumptions!$B$7)*Assumptions!$B$21</f>
        <v>7.43677685950413</v>
      </c>
      <c r="F17" s="38" t="n">
        <f aca="false">C17-D17-E17</f>
        <v>42.1417355371901</v>
      </c>
      <c r="G17" s="27" t="n">
        <f aca="false">IF(C17=0,0,F17/C17)</f>
        <v>0.702479338842975</v>
      </c>
    </row>
    <row r="18" customFormat="false" ht="15" hidden="false" customHeight="false" outlineLevel="0" collapsed="false">
      <c r="A18" s="5" t="s">
        <v>315</v>
      </c>
      <c r="C18" s="26" t="n">
        <f aca="false">C6</f>
        <v>59.99</v>
      </c>
      <c r="D18" s="26" t="n">
        <f aca="false">C6-C6/(1+Assumptions!$B$7)</f>
        <v>10.4114876033058</v>
      </c>
      <c r="E18" s="26" t="n">
        <f aca="false">C6*(Assumptions!$B$22+Assumptions!$B$24)+Assumptions!$B$23</f>
        <v>1.56978</v>
      </c>
      <c r="F18" s="38" t="n">
        <f aca="false">C18-D18-E18</f>
        <v>48.0087323966942</v>
      </c>
      <c r="G18" s="27" t="n">
        <f aca="false">IF(C18=0,0,F18/C18)</f>
        <v>0.800278919764864</v>
      </c>
    </row>
    <row r="19" customFormat="false" ht="15" hidden="false" customHeight="false" outlineLevel="0" collapsed="false">
      <c r="A19" s="5" t="s">
        <v>316</v>
      </c>
      <c r="C19" s="26" t="n">
        <f aca="false">C6</f>
        <v>59.99</v>
      </c>
      <c r="D19" s="26" t="n">
        <f aca="false">0</f>
        <v>0</v>
      </c>
      <c r="E19" s="26" t="n">
        <f aca="false">C6*(Assumptions!$B$22+Assumptions!$B$24)+Assumptions!$B$23</f>
        <v>1.56978</v>
      </c>
      <c r="F19" s="38" t="n">
        <f aca="false">C19-D19-E19</f>
        <v>58.42022</v>
      </c>
      <c r="G19" s="27" t="n">
        <f aca="false">IF(C19=0,0,F19/C19)</f>
        <v>0.973832638773129</v>
      </c>
    </row>
    <row r="21" customFormat="false" ht="15" hidden="false" customHeight="false" outlineLevel="0" collapsed="false">
      <c r="A21" s="3" t="s">
        <v>317</v>
      </c>
      <c r="B21" s="4"/>
      <c r="C21" s="4"/>
      <c r="D21" s="4"/>
      <c r="E21" s="4"/>
      <c r="F21" s="4"/>
      <c r="G21" s="4"/>
    </row>
    <row r="22" customFormat="false" ht="26.85" hidden="false" customHeight="false" outlineLevel="0" collapsed="false">
      <c r="A22" s="13" t="s">
        <v>318</v>
      </c>
      <c r="B22" s="13"/>
      <c r="C22" s="13" t="s">
        <v>319</v>
      </c>
      <c r="D22" s="13" t="s">
        <v>20</v>
      </c>
      <c r="E22" s="13" t="s">
        <v>320</v>
      </c>
      <c r="F22" s="13"/>
      <c r="G22" s="13"/>
    </row>
    <row r="23" customFormat="false" ht="15" hidden="false" customHeight="false" outlineLevel="0" collapsed="false">
      <c r="A23" s="5" t="s">
        <v>233</v>
      </c>
      <c r="C23" s="6" t="n">
        <f aca="false">'Fixed costs'!$I$24</f>
        <v>232.68245</v>
      </c>
      <c r="D23" s="39" t="n">
        <f aca="false">IF(O13&lt;=0,"never",ROUNDUP(C23/O13,0))</f>
        <v>47</v>
      </c>
      <c r="E23" s="39" t="n">
        <f aca="false">IF(ISNUMBER(D23),ROUNDUP(D23/(Assumptions!$B$15+Assumptions!$B$16),0),"never")</f>
        <v>855</v>
      </c>
    </row>
    <row r="24" customFormat="false" ht="15" hidden="false" customHeight="false" outlineLevel="0" collapsed="false">
      <c r="A24" s="5" t="s">
        <v>234</v>
      </c>
      <c r="C24" s="6" t="n">
        <f aca="false">'Fixed costs'!$J$24</f>
        <v>355.32145</v>
      </c>
      <c r="D24" s="39" t="n">
        <f aca="false">IF(O13&lt;=0,"never",ROUNDUP(C24/O13,0))</f>
        <v>71</v>
      </c>
      <c r="E24" s="39" t="n">
        <f aca="false">IF(ISNUMBER(D24),ROUNDUP(D24/(Assumptions!$B$15+Assumptions!$B$16),0),"never")</f>
        <v>1291</v>
      </c>
    </row>
    <row r="25" customFormat="false" ht="15" hidden="false" customHeight="false" outlineLevel="0" collapsed="false">
      <c r="A25" s="5" t="s">
        <v>235</v>
      </c>
      <c r="C25" s="6" t="n">
        <f aca="false">'Fixed costs'!$K$24</f>
        <v>736.5767</v>
      </c>
      <c r="D25" s="39" t="n">
        <f aca="false">IF(O13&lt;=0,"never",ROUNDUP(C25/O13,0))</f>
        <v>147</v>
      </c>
      <c r="E25" s="39" t="n">
        <f aca="false">IF(ISNUMBER(D25),ROUNDUP(D25/(Assumptions!$B$15+Assumptions!$B$16),0),"never")</f>
        <v>2673</v>
      </c>
    </row>
    <row r="27" customFormat="false" ht="15" hidden="false" customHeight="false" outlineLevel="0" collapsed="false">
      <c r="A27" s="25" t="s">
        <v>321</v>
      </c>
    </row>
    <row r="29" customFormat="false" ht="15" hidden="false" customHeight="false" outlineLevel="0" collapsed="false">
      <c r="A29" s="7" t="s">
        <v>322</v>
      </c>
      <c r="C29" s="6" t="n">
        <f aca="false">Assumptions!$B$35</f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9" min="2" style="0" width="14"/>
  </cols>
  <sheetData>
    <row r="1" customFormat="false" ht="17.35" hidden="false" customHeight="false" outlineLevel="0" collapsed="false">
      <c r="A1" s="1" t="s">
        <v>323</v>
      </c>
    </row>
    <row r="2" customFormat="false" ht="15" hidden="false" customHeight="false" outlineLevel="0" collapsed="false">
      <c r="A2" s="2" t="s">
        <v>324</v>
      </c>
    </row>
    <row r="4" customFormat="false" ht="15" hidden="false" customHeight="false" outlineLevel="0" collapsed="false">
      <c r="A4" s="13" t="s">
        <v>325</v>
      </c>
      <c r="B4" s="13" t="s">
        <v>326</v>
      </c>
      <c r="C4" s="13" t="s">
        <v>327</v>
      </c>
      <c r="D4" s="13" t="s">
        <v>328</v>
      </c>
      <c r="E4" s="13" t="s">
        <v>329</v>
      </c>
      <c r="F4" s="13" t="s">
        <v>330</v>
      </c>
      <c r="G4" s="13" t="s">
        <v>331</v>
      </c>
      <c r="H4" s="13" t="s">
        <v>332</v>
      </c>
      <c r="I4" s="13" t="s">
        <v>333</v>
      </c>
    </row>
    <row r="5" customFormat="false" ht="15" hidden="false" customHeight="false" outlineLevel="0" collapsed="false">
      <c r="A5" s="5" t="s">
        <v>334</v>
      </c>
      <c r="B5" s="24" t="n">
        <v>100</v>
      </c>
      <c r="C5" s="24" t="n">
        <v>500</v>
      </c>
      <c r="D5" s="24" t="n">
        <v>1000</v>
      </c>
      <c r="E5" s="24" t="n">
        <v>2500</v>
      </c>
      <c r="F5" s="24" t="n">
        <v>5000</v>
      </c>
      <c r="G5" s="24" t="n">
        <v>10000</v>
      </c>
      <c r="H5" s="24" t="n">
        <v>25000</v>
      </c>
      <c r="I5" s="24" t="n">
        <v>50000</v>
      </c>
    </row>
    <row r="6" customFormat="false" ht="15" hidden="false" customHeight="false" outlineLevel="0" collapsed="false">
      <c r="A6" s="5" t="s">
        <v>335</v>
      </c>
      <c r="B6" s="40" t="n">
        <f aca="false">IF(B5&gt;=Assumptions!$B$39,3,IF(B5&gt;=Assumptions!$B$38,2,1))</f>
        <v>1</v>
      </c>
      <c r="C6" s="40" t="n">
        <f aca="false">IF(C5&gt;=Assumptions!$B$39,3,IF(C5&gt;=Assumptions!$B$38,2,1))</f>
        <v>1</v>
      </c>
      <c r="D6" s="40" t="n">
        <f aca="false">IF(D5&gt;=Assumptions!$B$39,3,IF(D5&gt;=Assumptions!$B$38,2,1))</f>
        <v>1</v>
      </c>
      <c r="E6" s="40" t="n">
        <f aca="false">IF(E5&gt;=Assumptions!$B$39,3,IF(E5&gt;=Assumptions!$B$38,2,1))</f>
        <v>2</v>
      </c>
      <c r="F6" s="40" t="n">
        <f aca="false">IF(F5&gt;=Assumptions!$B$39,3,IF(F5&gt;=Assumptions!$B$38,2,1))</f>
        <v>2</v>
      </c>
      <c r="G6" s="40" t="n">
        <f aca="false">IF(G5&gt;=Assumptions!$B$39,3,IF(G5&gt;=Assumptions!$B$38,2,1))</f>
        <v>2</v>
      </c>
      <c r="H6" s="40" t="n">
        <f aca="false">IF(H5&gt;=Assumptions!$B$39,3,IF(H5&gt;=Assumptions!$B$38,2,1))</f>
        <v>3</v>
      </c>
      <c r="I6" s="40" t="n">
        <f aca="false">IF(I5&gt;=Assumptions!$B$39,3,IF(I5&gt;=Assumptions!$B$38,2,1))</f>
        <v>3</v>
      </c>
    </row>
    <row r="7" customFormat="false" ht="15" hidden="false" customHeight="false" outlineLevel="0" collapsed="false">
      <c r="A7" s="5" t="s">
        <v>336</v>
      </c>
      <c r="B7" s="39" t="n">
        <f aca="false">B5-B8-B9</f>
        <v>94</v>
      </c>
      <c r="C7" s="39" t="n">
        <f aca="false">C5-C8-C9</f>
        <v>472</v>
      </c>
      <c r="D7" s="39" t="n">
        <f aca="false">D5-D8-D9</f>
        <v>945</v>
      </c>
      <c r="E7" s="39" t="n">
        <f aca="false">E5-E8-E9</f>
        <v>2362</v>
      </c>
      <c r="F7" s="39" t="n">
        <f aca="false">F5-F8-F9</f>
        <v>4725</v>
      </c>
      <c r="G7" s="39" t="n">
        <f aca="false">G5-G8-G9</f>
        <v>9450</v>
      </c>
      <c r="H7" s="39" t="n">
        <f aca="false">H5-H8-H9</f>
        <v>23625</v>
      </c>
      <c r="I7" s="39" t="n">
        <f aca="false">I5-I8-I9</f>
        <v>47250</v>
      </c>
    </row>
    <row r="8" customFormat="false" ht="15" hidden="false" customHeight="false" outlineLevel="0" collapsed="false">
      <c r="A8" s="5" t="s">
        <v>337</v>
      </c>
      <c r="B8" s="39" t="n">
        <f aca="false">ROUND(B5*Assumptions!$B$15,0)</f>
        <v>5</v>
      </c>
      <c r="C8" s="39" t="n">
        <f aca="false">ROUND(C5*Assumptions!$B$15,0)</f>
        <v>23</v>
      </c>
      <c r="D8" s="39" t="n">
        <f aca="false">ROUND(D5*Assumptions!$B$15,0)</f>
        <v>45</v>
      </c>
      <c r="E8" s="39" t="n">
        <f aca="false">ROUND(E5*Assumptions!$B$15,0)</f>
        <v>113</v>
      </c>
      <c r="F8" s="39" t="n">
        <f aca="false">ROUND(F5*Assumptions!$B$15,0)</f>
        <v>225</v>
      </c>
      <c r="G8" s="39" t="n">
        <f aca="false">ROUND(G5*Assumptions!$B$15,0)</f>
        <v>450</v>
      </c>
      <c r="H8" s="39" t="n">
        <f aca="false">ROUND(H5*Assumptions!$B$15,0)</f>
        <v>1125</v>
      </c>
      <c r="I8" s="39" t="n">
        <f aca="false">ROUND(I5*Assumptions!$B$15,0)</f>
        <v>2250</v>
      </c>
    </row>
    <row r="9" customFormat="false" ht="15" hidden="false" customHeight="false" outlineLevel="0" collapsed="false">
      <c r="A9" s="5" t="s">
        <v>338</v>
      </c>
      <c r="B9" s="39" t="n">
        <f aca="false">ROUND(B5*Assumptions!$B$16,0)</f>
        <v>1</v>
      </c>
      <c r="C9" s="39" t="n">
        <f aca="false">ROUND(C5*Assumptions!$B$16,0)</f>
        <v>5</v>
      </c>
      <c r="D9" s="39" t="n">
        <f aca="false">ROUND(D5*Assumptions!$B$16,0)</f>
        <v>10</v>
      </c>
      <c r="E9" s="39" t="n">
        <f aca="false">ROUND(E5*Assumptions!$B$16,0)</f>
        <v>25</v>
      </c>
      <c r="F9" s="39" t="n">
        <f aca="false">ROUND(F5*Assumptions!$B$16,0)</f>
        <v>50</v>
      </c>
      <c r="G9" s="39" t="n">
        <f aca="false">ROUND(G5*Assumptions!$B$16,0)</f>
        <v>100</v>
      </c>
      <c r="H9" s="39" t="n">
        <f aca="false">ROUND(H5*Assumptions!$B$16,0)</f>
        <v>250</v>
      </c>
      <c r="I9" s="39" t="n">
        <f aca="false">ROUND(I5*Assumptions!$B$16,0)</f>
        <v>500</v>
      </c>
    </row>
    <row r="10" customFormat="false" ht="15" hidden="false" customHeight="false" outlineLevel="0" collapsed="false">
      <c r="A10" s="7" t="s">
        <v>339</v>
      </c>
      <c r="B10" s="41" t="n">
        <f aca="false">B8+B9</f>
        <v>6</v>
      </c>
      <c r="C10" s="41" t="n">
        <f aca="false">C8+C9</f>
        <v>28</v>
      </c>
      <c r="D10" s="41" t="n">
        <f aca="false">D8+D9</f>
        <v>55</v>
      </c>
      <c r="E10" s="41" t="n">
        <f aca="false">E8+E9</f>
        <v>138</v>
      </c>
      <c r="F10" s="41" t="n">
        <f aca="false">F8+F9</f>
        <v>275</v>
      </c>
      <c r="G10" s="41" t="n">
        <f aca="false">G8+G9</f>
        <v>550</v>
      </c>
      <c r="H10" s="41" t="n">
        <f aca="false">H8+H9</f>
        <v>1375</v>
      </c>
      <c r="I10" s="41" t="n">
        <f aca="false">I8+I9</f>
        <v>2750</v>
      </c>
    </row>
    <row r="12" customFormat="false" ht="15" hidden="false" customHeight="false" outlineLevel="0" collapsed="false">
      <c r="A12" s="3" t="s">
        <v>340</v>
      </c>
      <c r="B12" s="4"/>
      <c r="C12" s="4"/>
      <c r="D12" s="4"/>
      <c r="E12" s="4"/>
      <c r="F12" s="4"/>
      <c r="G12" s="4"/>
      <c r="H12" s="4"/>
      <c r="I12" s="4"/>
    </row>
    <row r="13" customFormat="false" ht="15" hidden="false" customHeight="false" outlineLevel="0" collapsed="false">
      <c r="A13" s="5" t="s">
        <v>341</v>
      </c>
      <c r="B13" s="26" t="n">
        <f aca="false">B8*'Unit economics'!$F$11+B9*'Unit economics'!$F$12</f>
        <v>42.9762083333333</v>
      </c>
      <c r="C13" s="26" t="n">
        <f aca="false">C8*'Unit economics'!$F$11+C9*'Unit economics'!$F$12</f>
        <v>202.488208333333</v>
      </c>
      <c r="D13" s="26" t="n">
        <f aca="false">D8*'Unit economics'!$F$11+D9*'Unit economics'!$F$12</f>
        <v>398.78</v>
      </c>
      <c r="E13" s="26" t="n">
        <f aca="false">E8*'Unit economics'!$F$11+E9*'Unit economics'!$F$12</f>
        <v>1000.04820833333</v>
      </c>
      <c r="F13" s="26" t="n">
        <f aca="false">F8*'Unit economics'!$F$11+F9*'Unit economics'!$F$12</f>
        <v>1993.9</v>
      </c>
      <c r="G13" s="26" t="n">
        <f aca="false">G8*'Unit economics'!$F$11+G9*'Unit economics'!$F$12</f>
        <v>3987.8</v>
      </c>
      <c r="H13" s="26" t="n">
        <f aca="false">H8*'Unit economics'!$F$11+H9*'Unit economics'!$F$12</f>
        <v>9969.5</v>
      </c>
      <c r="I13" s="26" t="n">
        <f aca="false">I8*'Unit economics'!$F$11+I9*'Unit economics'!$F$12</f>
        <v>19939</v>
      </c>
    </row>
    <row r="14" customFormat="false" ht="15" hidden="false" customHeight="false" outlineLevel="0" collapsed="false">
      <c r="A14" s="5" t="s">
        <v>342</v>
      </c>
      <c r="B14" s="26" t="n">
        <f aca="false">-(B8*'Unit economics'!$G$11+B9*'Unit economics'!$G$12)</f>
        <v>-7.45868078512397</v>
      </c>
      <c r="C14" s="26" t="n">
        <f aca="false">-(C8*'Unit economics'!$G$11+C9*'Unit economics'!$G$12)</f>
        <v>-35.1425816115702</v>
      </c>
      <c r="D14" s="26" t="n">
        <f aca="false">-(D8*'Unit economics'!$G$11+D9*'Unit economics'!$G$12)</f>
        <v>-69.2097520661157</v>
      </c>
      <c r="E14" s="26" t="n">
        <f aca="false">-(E8*'Unit economics'!$G$11+E9*'Unit economics'!$G$12)</f>
        <v>-173.562085743802</v>
      </c>
      <c r="F14" s="26" t="n">
        <f aca="false">-(F8*'Unit economics'!$G$11+F9*'Unit economics'!$G$12)</f>
        <v>-346.048760330579</v>
      </c>
      <c r="G14" s="26" t="n">
        <f aca="false">-(G8*'Unit economics'!$G$11+G9*'Unit economics'!$G$12)</f>
        <v>-692.097520661157</v>
      </c>
      <c r="H14" s="26" t="n">
        <f aca="false">-(H8*'Unit economics'!$G$11+H9*'Unit economics'!$G$12)</f>
        <v>-1730.24380165289</v>
      </c>
      <c r="I14" s="26" t="n">
        <f aca="false">-(I8*'Unit economics'!$G$11+I9*'Unit economics'!$G$12)</f>
        <v>-3460.48760330579</v>
      </c>
    </row>
    <row r="15" customFormat="false" ht="15" hidden="false" customHeight="false" outlineLevel="0" collapsed="false">
      <c r="A15" s="5" t="s">
        <v>343</v>
      </c>
      <c r="B15" s="26" t="n">
        <f aca="false">B22*(1-Assumptions!$B$19)*(B8*'Unit economics'!$G$11+B9*'Unit economics'!$G$12)</f>
        <v>2.98347231404959</v>
      </c>
      <c r="C15" s="26" t="n">
        <f aca="false">C22*(1-Assumptions!$B$19)*(C8*'Unit economics'!$G$11+C9*'Unit economics'!$G$12)</f>
        <v>14.0570326446281</v>
      </c>
      <c r="D15" s="26" t="n">
        <f aca="false">D22*(1-Assumptions!$B$19)*(D8*'Unit economics'!$G$11+D9*'Unit economics'!$G$12)</f>
        <v>27.6839008264463</v>
      </c>
      <c r="E15" s="26" t="n">
        <f aca="false">E22*(1-Assumptions!$B$19)*(E8*'Unit economics'!$G$11+E9*'Unit economics'!$G$12)</f>
        <v>69.4248342975207</v>
      </c>
      <c r="F15" s="26" t="n">
        <f aca="false">F22*(1-Assumptions!$B$19)*(F8*'Unit economics'!$G$11+F9*'Unit economics'!$G$12)</f>
        <v>138.419504132231</v>
      </c>
      <c r="G15" s="26" t="n">
        <f aca="false">G22*(1-Assumptions!$B$19)*(G8*'Unit economics'!$G$11+G9*'Unit economics'!$G$12)</f>
        <v>0</v>
      </c>
      <c r="H15" s="26" t="n">
        <f aca="false">H22*(1-Assumptions!$B$19)*(H8*'Unit economics'!$G$11+H9*'Unit economics'!$G$12)</f>
        <v>0</v>
      </c>
      <c r="I15" s="26" t="n">
        <f aca="false">I22*(1-Assumptions!$B$19)*(I8*'Unit economics'!$G$11+I9*'Unit economics'!$G$12)</f>
        <v>0</v>
      </c>
    </row>
    <row r="16" customFormat="false" ht="15" hidden="false" customHeight="false" outlineLevel="0" collapsed="false">
      <c r="A16" s="5" t="s">
        <v>344</v>
      </c>
      <c r="B16" s="26" t="n">
        <f aca="false">-(B8*'Unit economics'!$K$11+B9*'Unit economics'!$K$12)</f>
        <v>-3.81268477933884</v>
      </c>
      <c r="C16" s="26" t="n">
        <f aca="false">-(C8*'Unit economics'!$K$11+C9*'Unit economics'!$K$12)</f>
        <v>-17.9609193049587</v>
      </c>
      <c r="D16" s="26" t="n">
        <f aca="false">-(D8*'Unit economics'!$K$11+D9*'Unit economics'!$K$12)</f>
        <v>-35.3705863140496</v>
      </c>
      <c r="E16" s="26" t="n">
        <f aca="false">-(E8*'Unit economics'!$K$11+E9*'Unit economics'!$K$12)</f>
        <v>-88.7020919330578</v>
      </c>
      <c r="F16" s="26" t="n">
        <f aca="false">-(F8*'Unit economics'!$K$11+F9*'Unit economics'!$K$12)</f>
        <v>-176.852931570248</v>
      </c>
      <c r="G16" s="26" t="n">
        <f aca="false">-(G8*'Unit economics'!$K$11+G9*'Unit economics'!$K$12)</f>
        <v>-353.705863140496</v>
      </c>
      <c r="H16" s="26" t="n">
        <f aca="false">-(H8*'Unit economics'!$K$11+H9*'Unit economics'!$K$12)</f>
        <v>-884.26465785124</v>
      </c>
      <c r="I16" s="26" t="n">
        <f aca="false">-(I8*'Unit economics'!$K$11+I9*'Unit economics'!$K$12)</f>
        <v>-1768.52931570248</v>
      </c>
    </row>
    <row r="17" customFormat="false" ht="15" hidden="false" customHeight="false" outlineLevel="0" collapsed="false">
      <c r="A17" s="7" t="s">
        <v>345</v>
      </c>
      <c r="B17" s="38" t="n">
        <f aca="false">B13+B14+B15+B16</f>
        <v>34.6883150829201</v>
      </c>
      <c r="C17" s="38" t="n">
        <f aca="false">C13+C14+C15+C16</f>
        <v>163.441740061432</v>
      </c>
      <c r="D17" s="38" t="n">
        <f aca="false">D13+D14+D15+D16</f>
        <v>321.883562446281</v>
      </c>
      <c r="E17" s="38" t="n">
        <f aca="false">E13+E14+E15+E16</f>
        <v>807.208864953995</v>
      </c>
      <c r="F17" s="38" t="n">
        <f aca="false">F13+F14+F15+F16</f>
        <v>1609.41781223141</v>
      </c>
      <c r="G17" s="38" t="n">
        <f aca="false">G13+G14+G15+G16</f>
        <v>2941.99661619835</v>
      </c>
      <c r="H17" s="38" t="n">
        <f aca="false">H13+H14+H15+H16</f>
        <v>7354.99154049587</v>
      </c>
      <c r="I17" s="38" t="n">
        <f aca="false">I13+I14+I15+I16</f>
        <v>14709.9830809917</v>
      </c>
    </row>
    <row r="19" customFormat="false" ht="15" hidden="false" customHeight="false" outlineLevel="0" collapsed="false">
      <c r="A19" s="3" t="s">
        <v>346</v>
      </c>
      <c r="B19" s="4"/>
      <c r="C19" s="4"/>
      <c r="D19" s="4"/>
      <c r="E19" s="4"/>
      <c r="F19" s="4"/>
      <c r="G19" s="4"/>
      <c r="H19" s="4"/>
      <c r="I19" s="4"/>
    </row>
    <row r="20" customFormat="false" ht="15" hidden="false" customHeight="false" outlineLevel="0" collapsed="false">
      <c r="A20" s="5" t="s">
        <v>347</v>
      </c>
      <c r="B20" s="26" t="n">
        <f aca="false">(B13+B14)*12</f>
        <v>426.210330578512</v>
      </c>
      <c r="C20" s="26" t="n">
        <f aca="false">(C13+C14)*12</f>
        <v>2008.14752066116</v>
      </c>
      <c r="D20" s="26" t="n">
        <f aca="false">(D13+D14)*12</f>
        <v>3954.84297520661</v>
      </c>
      <c r="E20" s="26" t="n">
        <f aca="false">(E13+E14)*12</f>
        <v>9917.83347107438</v>
      </c>
      <c r="F20" s="26" t="n">
        <f aca="false">(F13+F14)*12</f>
        <v>19774.2148760331</v>
      </c>
      <c r="G20" s="26" t="n">
        <f aca="false">(G13+G14)*12</f>
        <v>39548.4297520661</v>
      </c>
      <c r="H20" s="26" t="n">
        <f aca="false">(H13+H14)*12</f>
        <v>98871.0743801653</v>
      </c>
      <c r="I20" s="26" t="n">
        <f aca="false">(I13+I14)*12</f>
        <v>197742.148760331</v>
      </c>
    </row>
    <row r="21" customFormat="false" ht="15" hidden="false" customHeight="false" outlineLevel="0" collapsed="false">
      <c r="A21" s="5" t="s">
        <v>348</v>
      </c>
      <c r="B21" s="26" t="n">
        <f aca="false">B13*(1-Assumptions!$B$19)*Assumptions!$B$29*12</f>
        <v>165.02864</v>
      </c>
      <c r="C21" s="26" t="n">
        <f aca="false">C13*(1-Assumptions!$B$19)*Assumptions!$B$29*12</f>
        <v>777.55472</v>
      </c>
      <c r="D21" s="26" t="n">
        <f aca="false">D13*(1-Assumptions!$B$19)*Assumptions!$B$29*12</f>
        <v>1531.3152</v>
      </c>
      <c r="E21" s="26" t="n">
        <f aca="false">E13*(1-Assumptions!$B$19)*Assumptions!$B$29*12</f>
        <v>3840.18512</v>
      </c>
      <c r="F21" s="26" t="n">
        <f aca="false">F13*(1-Assumptions!$B$19)*Assumptions!$B$29*12</f>
        <v>7656.576</v>
      </c>
      <c r="G21" s="26" t="n">
        <f aca="false">G13*(1-Assumptions!$B$19)*Assumptions!$B$29*12</f>
        <v>15313.152</v>
      </c>
      <c r="H21" s="26" t="n">
        <f aca="false">H13*(1-Assumptions!$B$19)*Assumptions!$B$29*12</f>
        <v>38282.88</v>
      </c>
      <c r="I21" s="26" t="n">
        <f aca="false">I13*(1-Assumptions!$B$19)*Assumptions!$B$29*12</f>
        <v>76565.76</v>
      </c>
    </row>
    <row r="22" customFormat="false" ht="15" hidden="false" customHeight="false" outlineLevel="0" collapsed="false">
      <c r="A22" s="5" t="s">
        <v>349</v>
      </c>
      <c r="B22" s="40" t="n">
        <f aca="false">IF(AND(Assumptions!$B$26="Y",B20&lt;=Assumptions!$B$27,B21&lt;=Assumptions!$B$28),1,0)</f>
        <v>1</v>
      </c>
      <c r="C22" s="40" t="n">
        <f aca="false">IF(AND(Assumptions!$B$26="Y",C20&lt;=Assumptions!$B$27,C21&lt;=Assumptions!$B$28),1,0)</f>
        <v>1</v>
      </c>
      <c r="D22" s="40" t="n">
        <f aca="false">IF(AND(Assumptions!$B$26="Y",D20&lt;=Assumptions!$B$27,D21&lt;=Assumptions!$B$28),1,0)</f>
        <v>1</v>
      </c>
      <c r="E22" s="40" t="n">
        <f aca="false">IF(AND(Assumptions!$B$26="Y",E20&lt;=Assumptions!$B$27,E21&lt;=Assumptions!$B$28),1,0)</f>
        <v>1</v>
      </c>
      <c r="F22" s="40" t="n">
        <f aca="false">IF(AND(Assumptions!$B$26="Y",F20&lt;=Assumptions!$B$27,F21&lt;=Assumptions!$B$28),1,0)</f>
        <v>1</v>
      </c>
      <c r="G22" s="40" t="n">
        <f aca="false">IF(AND(Assumptions!$B$26="Y",G20&lt;=Assumptions!$B$27,G21&lt;=Assumptions!$B$28),1,0)</f>
        <v>0</v>
      </c>
      <c r="H22" s="40" t="n">
        <f aca="false">IF(AND(Assumptions!$B$26="Y",H20&lt;=Assumptions!$B$27,H21&lt;=Assumptions!$B$28),1,0)</f>
        <v>0</v>
      </c>
      <c r="I22" s="40" t="n">
        <f aca="false">IF(AND(Assumptions!$B$26="Y",I20&lt;=Assumptions!$B$27,I21&lt;=Assumptions!$B$28),1,0)</f>
        <v>0</v>
      </c>
    </row>
    <row r="24" customFormat="false" ht="15" hidden="false" customHeight="false" outlineLevel="0" collapsed="false">
      <c r="A24" s="3" t="s">
        <v>350</v>
      </c>
      <c r="B24" s="4"/>
      <c r="C24" s="4"/>
      <c r="D24" s="4"/>
      <c r="E24" s="4"/>
      <c r="F24" s="4"/>
      <c r="G24" s="4"/>
      <c r="H24" s="4"/>
      <c r="I24" s="4"/>
    </row>
    <row r="25" customFormat="false" ht="15" hidden="false" customHeight="false" outlineLevel="0" collapsed="false">
      <c r="A25" s="5" t="s">
        <v>351</v>
      </c>
      <c r="B25" s="26" t="n">
        <f aca="false">B8*'Unit economics'!$M$11+B9*'Unit economics'!$M$12</f>
        <v>1.862674</v>
      </c>
      <c r="C25" s="26" t="n">
        <f aca="false">C8*'Unit economics'!$M$11+C9*'Unit economics'!$M$12</f>
        <v>8.751446</v>
      </c>
      <c r="D25" s="26" t="n">
        <f aca="false">D8*'Unit economics'!$M$11+D9*'Unit economics'!$M$12</f>
        <v>17.22193</v>
      </c>
      <c r="E25" s="26" t="n">
        <f aca="false">E8*'Unit economics'!$M$11+E9*'Unit economics'!$M$12</f>
        <v>43.195306</v>
      </c>
      <c r="F25" s="26" t="n">
        <f aca="false">F8*'Unit economics'!$M$11+F9*'Unit economics'!$M$12</f>
        <v>86.10965</v>
      </c>
      <c r="G25" s="26" t="n">
        <f aca="false">G8*'Unit economics'!$M$11+G9*'Unit economics'!$M$12</f>
        <v>172.2193</v>
      </c>
      <c r="H25" s="26" t="n">
        <f aca="false">H8*'Unit economics'!$M$11+H9*'Unit economics'!$M$12</f>
        <v>430.54825</v>
      </c>
      <c r="I25" s="26" t="n">
        <f aca="false">I8*'Unit economics'!$M$11+I9*'Unit economics'!$M$12</f>
        <v>861.0965</v>
      </c>
    </row>
    <row r="26" customFormat="false" ht="15" hidden="false" customHeight="false" outlineLevel="0" collapsed="false">
      <c r="A26" s="5" t="s">
        <v>352</v>
      </c>
      <c r="B26" s="26" t="n">
        <f aca="false">B7*Assumptions!$B$35+B10*Assumptions!$B$36</f>
        <v>1.06</v>
      </c>
      <c r="C26" s="26" t="n">
        <f aca="false">C7*Assumptions!$B$35+C10*Assumptions!$B$36</f>
        <v>5.28</v>
      </c>
      <c r="D26" s="26" t="n">
        <f aca="false">D7*Assumptions!$B$35+D10*Assumptions!$B$36</f>
        <v>10.55</v>
      </c>
      <c r="E26" s="26" t="n">
        <f aca="false">E7*Assumptions!$B$35+E10*Assumptions!$B$36</f>
        <v>26.38</v>
      </c>
      <c r="F26" s="26" t="n">
        <f aca="false">F7*Assumptions!$B$35+F10*Assumptions!$B$36</f>
        <v>52.75</v>
      </c>
      <c r="G26" s="26" t="n">
        <f aca="false">G7*Assumptions!$B$35+G10*Assumptions!$B$36</f>
        <v>105.5</v>
      </c>
      <c r="H26" s="26" t="n">
        <f aca="false">H7*Assumptions!$B$35+H10*Assumptions!$B$36</f>
        <v>263.75</v>
      </c>
      <c r="I26" s="26" t="n">
        <f aca="false">I7*Assumptions!$B$35+I10*Assumptions!$B$36</f>
        <v>527.5</v>
      </c>
    </row>
    <row r="27" customFormat="false" ht="15" hidden="false" customHeight="false" outlineLevel="0" collapsed="false">
      <c r="A27" s="5" t="s">
        <v>353</v>
      </c>
      <c r="B27" s="26" t="n">
        <f aca="false">CHOOSE(B6,'Fixed costs'!$I$24,'Fixed costs'!$J$24,'Fixed costs'!$K$24)</f>
        <v>232.68245</v>
      </c>
      <c r="C27" s="26" t="n">
        <f aca="false">CHOOSE(C6,'Fixed costs'!$I$24,'Fixed costs'!$J$24,'Fixed costs'!$K$24)</f>
        <v>232.68245</v>
      </c>
      <c r="D27" s="26" t="n">
        <f aca="false">CHOOSE(D6,'Fixed costs'!$I$24,'Fixed costs'!$J$24,'Fixed costs'!$K$24)</f>
        <v>232.68245</v>
      </c>
      <c r="E27" s="26" t="n">
        <f aca="false">CHOOSE(E6,'Fixed costs'!$I$24,'Fixed costs'!$J$24,'Fixed costs'!$K$24)</f>
        <v>355.32145</v>
      </c>
      <c r="F27" s="26" t="n">
        <f aca="false">CHOOSE(F6,'Fixed costs'!$I$24,'Fixed costs'!$J$24,'Fixed costs'!$K$24)</f>
        <v>355.32145</v>
      </c>
      <c r="G27" s="26" t="n">
        <f aca="false">CHOOSE(G6,'Fixed costs'!$I$24,'Fixed costs'!$J$24,'Fixed costs'!$K$24)</f>
        <v>355.32145</v>
      </c>
      <c r="H27" s="26" t="n">
        <f aca="false">CHOOSE(H6,'Fixed costs'!$I$24,'Fixed costs'!$J$24,'Fixed costs'!$K$24)</f>
        <v>736.5767</v>
      </c>
      <c r="I27" s="26" t="n">
        <f aca="false">CHOOSE(I6,'Fixed costs'!$I$24,'Fixed costs'!$J$24,'Fixed costs'!$K$24)</f>
        <v>736.5767</v>
      </c>
    </row>
    <row r="28" customFormat="false" ht="15" hidden="false" customHeight="false" outlineLevel="0" collapsed="false">
      <c r="A28" s="7" t="s">
        <v>354</v>
      </c>
      <c r="B28" s="36" t="n">
        <f aca="false">B25+B26+B27</f>
        <v>235.605124</v>
      </c>
      <c r="C28" s="36" t="n">
        <f aca="false">C25+C26+C27</f>
        <v>246.713896</v>
      </c>
      <c r="D28" s="36" t="n">
        <f aca="false">D25+D26+D27</f>
        <v>260.45438</v>
      </c>
      <c r="E28" s="36" t="n">
        <f aca="false">E25+E26+E27</f>
        <v>424.896756</v>
      </c>
      <c r="F28" s="36" t="n">
        <f aca="false">F25+F26+F27</f>
        <v>494.1811</v>
      </c>
      <c r="G28" s="36" t="n">
        <f aca="false">G25+G26+G27</f>
        <v>633.04075</v>
      </c>
      <c r="H28" s="36" t="n">
        <f aca="false">H25+H26+H27</f>
        <v>1430.87495</v>
      </c>
      <c r="I28" s="36" t="n">
        <f aca="false">I25+I26+I27</f>
        <v>2125.1732</v>
      </c>
    </row>
    <row r="30" customFormat="false" ht="15" hidden="false" customHeight="false" outlineLevel="0" collapsed="false">
      <c r="A30" s="3" t="s">
        <v>355</v>
      </c>
      <c r="B30" s="4"/>
      <c r="C30" s="4"/>
      <c r="D30" s="4"/>
      <c r="E30" s="4"/>
      <c r="F30" s="4"/>
      <c r="G30" s="4"/>
      <c r="H30" s="4"/>
      <c r="I30" s="4"/>
    </row>
    <row r="31" customFormat="false" ht="15" hidden="false" customHeight="false" outlineLevel="0" collapsed="false">
      <c r="A31" s="7" t="s">
        <v>356</v>
      </c>
      <c r="B31" s="36" t="n">
        <f aca="false">B17-B28</f>
        <v>-200.91680891708</v>
      </c>
      <c r="C31" s="36" t="n">
        <f aca="false">C17-C28</f>
        <v>-83.2721559385675</v>
      </c>
      <c r="D31" s="36" t="n">
        <f aca="false">D17-D28</f>
        <v>61.429182446281</v>
      </c>
      <c r="E31" s="36" t="n">
        <f aca="false">E17-E28</f>
        <v>382.312108953995</v>
      </c>
      <c r="F31" s="36" t="n">
        <f aca="false">F17-F28</f>
        <v>1115.23671223141</v>
      </c>
      <c r="G31" s="36" t="n">
        <f aca="false">G17-G28</f>
        <v>2308.95586619835</v>
      </c>
      <c r="H31" s="36" t="n">
        <f aca="false">H17-H28</f>
        <v>5924.11659049587</v>
      </c>
      <c r="I31" s="36" t="n">
        <f aca="false">I17-I28</f>
        <v>12584.8098809917</v>
      </c>
    </row>
    <row r="32" customFormat="false" ht="15" hidden="false" customHeight="false" outlineLevel="0" collapsed="false">
      <c r="A32" s="5" t="s">
        <v>357</v>
      </c>
      <c r="B32" s="26" t="n">
        <f aca="false">MAX(0,B31)*12</f>
        <v>0</v>
      </c>
      <c r="C32" s="26" t="n">
        <f aca="false">MAX(0,C31)*12</f>
        <v>0</v>
      </c>
      <c r="D32" s="26" t="n">
        <f aca="false">MAX(0,D31)*12</f>
        <v>737.150189355371</v>
      </c>
      <c r="E32" s="26" t="n">
        <f aca="false">MAX(0,E31)*12</f>
        <v>4587.74530744793</v>
      </c>
      <c r="F32" s="26" t="n">
        <f aca="false">MAX(0,F31)*12</f>
        <v>13382.8405467769</v>
      </c>
      <c r="G32" s="26" t="n">
        <f aca="false">MAX(0,G31)*12</f>
        <v>27707.4703943802</v>
      </c>
      <c r="H32" s="26" t="n">
        <f aca="false">MAX(0,H31)*12</f>
        <v>71089.3990859504</v>
      </c>
      <c r="I32" s="26" t="n">
        <f aca="false">MAX(0,I31)*12</f>
        <v>151017.718571901</v>
      </c>
    </row>
    <row r="33" customFormat="false" ht="15" hidden="false" customHeight="false" outlineLevel="0" collapsed="false">
      <c r="A33" s="5" t="s">
        <v>358</v>
      </c>
      <c r="B33" s="26" t="n">
        <f aca="false">IF(B32&lt;=Assumptions!$B$41,0,IF(B32&lt;Assumptions!$B$42,Assumptions!$B$43*(B32-Assumptions!$B$41),MAX(4*Assumptions!$B$44,Assumptions!$B$43*B32)))/12</f>
        <v>0</v>
      </c>
      <c r="C33" s="26" t="n">
        <f aca="false">IF(C32&lt;=Assumptions!$B$41,0,IF(C32&lt;Assumptions!$B$42,Assumptions!$B$43*(C32-Assumptions!$B$41),MAX(4*Assumptions!$B$44,Assumptions!$B$43*C32)))/12</f>
        <v>0</v>
      </c>
      <c r="D33" s="26" t="n">
        <f aca="false">IF(D32&lt;=Assumptions!$B$41,0,IF(D32&lt;Assumptions!$B$42,Assumptions!$B$43*(D32-Assumptions!$B$41),MAX(4*Assumptions!$B$44,Assumptions!$B$43*D32)))/12</f>
        <v>0</v>
      </c>
      <c r="E33" s="26" t="n">
        <f aca="false">IF(E32&lt;=Assumptions!$B$41,0,IF(E32&lt;Assumptions!$B$42,Assumptions!$B$43*(E32-Assumptions!$B$41),MAX(4*Assumptions!$B$44,Assumptions!$B$43*E32)))/12</f>
        <v>0</v>
      </c>
      <c r="F33" s="26" t="n">
        <f aca="false">IF(F32&lt;=Assumptions!$B$41,0,IF(F32&lt;Assumptions!$B$42,Assumptions!$B$43*(F32-Assumptions!$B$41),MAX(4*Assumptions!$B$44,Assumptions!$B$43*F32)))/12</f>
        <v>80.219926007438</v>
      </c>
      <c r="G33" s="26" t="n">
        <f aca="false">IF(G32&lt;=Assumptions!$B$41,0,IF(G32&lt;Assumptions!$B$42,Assumptions!$B$43*(G32-Assumptions!$B$41),MAX(4*Assumptions!$B$44,Assumptions!$B$43*G32)))/12</f>
        <v>473.335952570661</v>
      </c>
      <c r="H33" s="26" t="n">
        <f aca="false">IF(H32&lt;=Assumptions!$B$41,0,IF(H32&lt;Assumptions!$B$42,Assumptions!$B$43*(H32-Assumptions!$B$41),MAX(4*Assumptions!$B$44,Assumptions!$B$43*H32)))/12</f>
        <v>1214.44390105165</v>
      </c>
      <c r="I33" s="26" t="n">
        <f aca="false">IF(I32&lt;=Assumptions!$B$41,0,IF(I32&lt;Assumptions!$B$42,Assumptions!$B$43*(I32-Assumptions!$B$41),MAX(4*Assumptions!$B$44,Assumptions!$B$43*I32)))/12</f>
        <v>2579.88602560331</v>
      </c>
    </row>
    <row r="34" customFormat="false" ht="15" hidden="false" customHeight="false" outlineLevel="0" collapsed="false">
      <c r="A34" s="7" t="s">
        <v>359</v>
      </c>
      <c r="B34" s="36" t="n">
        <f aca="false">B31-B33</f>
        <v>-200.91680891708</v>
      </c>
      <c r="C34" s="36" t="n">
        <f aca="false">C31-C33</f>
        <v>-83.2721559385675</v>
      </c>
      <c r="D34" s="36" t="n">
        <f aca="false">D31-D33</f>
        <v>61.429182446281</v>
      </c>
      <c r="E34" s="36" t="n">
        <f aca="false">E31-E33</f>
        <v>382.312108953995</v>
      </c>
      <c r="F34" s="36" t="n">
        <f aca="false">F31-F33</f>
        <v>1035.01678622397</v>
      </c>
      <c r="G34" s="36" t="n">
        <f aca="false">G31-G33</f>
        <v>1835.61991362769</v>
      </c>
      <c r="H34" s="36" t="n">
        <f aca="false">H31-H33</f>
        <v>4709.67268944422</v>
      </c>
      <c r="I34" s="36" t="n">
        <f aca="false">I31-I33</f>
        <v>10004.9238553884</v>
      </c>
    </row>
    <row r="35" customFormat="false" ht="15" hidden="false" customHeight="false" outlineLevel="0" collapsed="false">
      <c r="A35" s="5" t="s">
        <v>360</v>
      </c>
      <c r="B35" s="26" t="n">
        <f aca="false">B34*12</f>
        <v>-2411.00170700496</v>
      </c>
      <c r="C35" s="26" t="n">
        <f aca="false">C34*12</f>
        <v>-999.26587126281</v>
      </c>
      <c r="D35" s="26" t="n">
        <f aca="false">D34*12</f>
        <v>737.150189355371</v>
      </c>
      <c r="E35" s="26" t="n">
        <f aca="false">E34*12</f>
        <v>4587.74530744793</v>
      </c>
      <c r="F35" s="26" t="n">
        <f aca="false">F34*12</f>
        <v>12420.2014346876</v>
      </c>
      <c r="G35" s="26" t="n">
        <f aca="false">G34*12</f>
        <v>22027.4389635322</v>
      </c>
      <c r="H35" s="26" t="n">
        <f aca="false">H34*12</f>
        <v>56516.0722733306</v>
      </c>
      <c r="I35" s="26" t="n">
        <f aca="false">I34*12</f>
        <v>120059.086264661</v>
      </c>
    </row>
    <row r="36" customFormat="false" ht="15" hidden="false" customHeight="false" outlineLevel="0" collapsed="false">
      <c r="A36" s="5" t="s">
        <v>361</v>
      </c>
      <c r="B36" s="42" t="str">
        <f aca="false">IF(B32&lt;Assumptions!$B$42,"yes","no: full-time rates")</f>
        <v>yes</v>
      </c>
      <c r="C36" s="42" t="str">
        <f aca="false">IF(C32&lt;Assumptions!$B$42,"yes","no: full-time rates")</f>
        <v>yes</v>
      </c>
      <c r="D36" s="42" t="str">
        <f aca="false">IF(D32&lt;Assumptions!$B$42,"yes","no: full-time rates")</f>
        <v>yes</v>
      </c>
      <c r="E36" s="42" t="str">
        <f aca="false">IF(E32&lt;Assumptions!$B$42,"yes","no: full-time rates")</f>
        <v>yes</v>
      </c>
      <c r="F36" s="42" t="str">
        <f aca="false">IF(F32&lt;Assumptions!$B$42,"yes","no: full-time rates")</f>
        <v>yes</v>
      </c>
      <c r="G36" s="42" t="str">
        <f aca="false">IF(G32&lt;Assumptions!$B$42,"yes","no: full-time rates")</f>
        <v>no: full-time rates</v>
      </c>
      <c r="H36" s="42" t="str">
        <f aca="false">IF(H32&lt;Assumptions!$B$42,"yes","no: full-time rates")</f>
        <v>no: full-time rates</v>
      </c>
      <c r="I36" s="42" t="str">
        <f aca="false">IF(I32&lt;Assumptions!$B$42,"yes","no: full-time rates")</f>
        <v>no: full-time rates</v>
      </c>
    </row>
    <row r="38" customFormat="false" ht="15" hidden="false" customHeight="false" outlineLevel="0" collapsed="false">
      <c r="A38" s="3" t="s">
        <v>362</v>
      </c>
      <c r="B38" s="4"/>
      <c r="C38" s="4"/>
      <c r="D38" s="4"/>
      <c r="E38" s="4"/>
      <c r="F38" s="4"/>
      <c r="G38" s="4"/>
      <c r="H38" s="4"/>
      <c r="I38" s="4"/>
    </row>
    <row r="39" customFormat="false" ht="15" hidden="false" customHeight="false" outlineLevel="0" collapsed="false">
      <c r="A39" s="5" t="s">
        <v>363</v>
      </c>
      <c r="B39" s="26" t="n">
        <f aca="false">IF(B5=0,0,B28/B5)</f>
        <v>2.35605124</v>
      </c>
      <c r="C39" s="26" t="n">
        <f aca="false">IF(C5=0,0,C28/C5)</f>
        <v>0.493427792</v>
      </c>
      <c r="D39" s="26" t="n">
        <f aca="false">IF(D5=0,0,D28/D5)</f>
        <v>0.26045438</v>
      </c>
      <c r="E39" s="26" t="n">
        <f aca="false">IF(E5=0,0,E28/E5)</f>
        <v>0.1699587024</v>
      </c>
      <c r="F39" s="26" t="n">
        <f aca="false">IF(F5=0,0,F28/F5)</f>
        <v>0.09883622</v>
      </c>
      <c r="G39" s="26" t="n">
        <f aca="false">IF(G5=0,0,G28/G5)</f>
        <v>0.063304075</v>
      </c>
      <c r="H39" s="26" t="n">
        <f aca="false">IF(H5=0,0,H28/H5)</f>
        <v>0.057234998</v>
      </c>
      <c r="I39" s="26" t="n">
        <f aca="false">IF(I5=0,0,I28/I5)</f>
        <v>0.042503464</v>
      </c>
    </row>
    <row r="40" customFormat="false" ht="15" hidden="false" customHeight="false" outlineLevel="0" collapsed="false">
      <c r="A40" s="5" t="s">
        <v>364</v>
      </c>
      <c r="B40" s="26" t="n">
        <f aca="false">IF(B10=0,0,B28/B10)</f>
        <v>39.2675206666667</v>
      </c>
      <c r="C40" s="26" t="n">
        <f aca="false">IF(C10=0,0,C28/C10)</f>
        <v>8.81121057142857</v>
      </c>
      <c r="D40" s="26" t="n">
        <f aca="false">IF(D10=0,0,D28/D10)</f>
        <v>4.73553418181818</v>
      </c>
      <c r="E40" s="26" t="n">
        <f aca="false">IF(E10=0,0,E28/E10)</f>
        <v>3.078962</v>
      </c>
      <c r="F40" s="26" t="n">
        <f aca="false">IF(F10=0,0,F28/F10)</f>
        <v>1.79702218181818</v>
      </c>
      <c r="G40" s="26" t="n">
        <f aca="false">IF(G10=0,0,G28/G10)</f>
        <v>1.15098318181818</v>
      </c>
      <c r="H40" s="26" t="n">
        <f aca="false">IF(H10=0,0,H28/H10)</f>
        <v>1.04063632727273</v>
      </c>
      <c r="I40" s="26" t="n">
        <f aca="false">IF(I10=0,0,I28/I10)</f>
        <v>0.772790254545455</v>
      </c>
    </row>
    <row r="41" customFormat="false" ht="15" hidden="false" customHeight="false" outlineLevel="0" collapsed="false">
      <c r="A41" s="5" t="s">
        <v>365</v>
      </c>
      <c r="B41" s="26" t="n">
        <f aca="false">IF(B10=0,0,B17/B10)</f>
        <v>5.78138584715335</v>
      </c>
      <c r="C41" s="26" t="n">
        <f aca="false">IF(C10=0,0,C17/C10)</f>
        <v>5.83720500219402</v>
      </c>
      <c r="D41" s="26" t="n">
        <f aca="false">IF(D10=0,0,D17/D10)</f>
        <v>5.8524284081142</v>
      </c>
      <c r="E41" s="26" t="n">
        <f aca="false">IF(E10=0,0,E17/E10)</f>
        <v>5.8493396011159</v>
      </c>
      <c r="F41" s="26" t="n">
        <f aca="false">IF(F10=0,0,F17/F10)</f>
        <v>5.8524284081142</v>
      </c>
      <c r="G41" s="26" t="n">
        <f aca="false">IF(G10=0,0,G17/G10)</f>
        <v>5.34908475672427</v>
      </c>
      <c r="H41" s="26" t="n">
        <f aca="false">IF(H10=0,0,H17/H10)</f>
        <v>5.34908475672427</v>
      </c>
      <c r="I41" s="26" t="n">
        <f aca="false">IF(I10=0,0,I17/I10)</f>
        <v>5.34908475672427</v>
      </c>
    </row>
    <row r="42" customFormat="false" ht="15" hidden="false" customHeight="false" outlineLevel="0" collapsed="false">
      <c r="A42" s="5" t="s">
        <v>366</v>
      </c>
      <c r="B42" s="26" t="n">
        <f aca="false">Assumptions!$B$35</f>
        <v>0.01</v>
      </c>
      <c r="C42" s="26" t="n">
        <f aca="false">Assumptions!$B$35</f>
        <v>0.01</v>
      </c>
      <c r="D42" s="26" t="n">
        <f aca="false">Assumptions!$B$35</f>
        <v>0.01</v>
      </c>
      <c r="E42" s="26" t="n">
        <f aca="false">Assumptions!$B$35</f>
        <v>0.01</v>
      </c>
      <c r="F42" s="26" t="n">
        <f aca="false">Assumptions!$B$35</f>
        <v>0.01</v>
      </c>
      <c r="G42" s="26" t="n">
        <f aca="false">Assumptions!$B$35</f>
        <v>0.01</v>
      </c>
      <c r="H42" s="26" t="n">
        <f aca="false">Assumptions!$B$35</f>
        <v>0.01</v>
      </c>
      <c r="I42" s="26" t="n">
        <f aca="false">Assumptions!$B$35</f>
        <v>0.01</v>
      </c>
    </row>
    <row r="43" customFormat="false" ht="15" hidden="false" customHeight="false" outlineLevel="0" collapsed="false">
      <c r="A43" s="5" t="s">
        <v>367</v>
      </c>
      <c r="B43" s="27" t="n">
        <f aca="false">IF(B17=0,0,B31/B17)</f>
        <v>-5.792060191935</v>
      </c>
      <c r="C43" s="27" t="n">
        <f aca="false">IF(C17=0,0,C31/C17)</f>
        <v>-0.509491369262639</v>
      </c>
      <c r="D43" s="27" t="n">
        <f aca="false">IF(D17=0,0,D31/D17)</f>
        <v>0.190842868705148</v>
      </c>
      <c r="E43" s="27" t="n">
        <f aca="false">IF(E17=0,0,E31/E17)</f>
        <v>0.473622287306996</v>
      </c>
      <c r="F43" s="27" t="n">
        <f aca="false">IF(F17=0,0,F31/F17)</f>
        <v>0.692944183763672</v>
      </c>
      <c r="G43" s="27" t="n">
        <f aca="false">IF(G17=0,0,G31/G17)</f>
        <v>0.784826146123167</v>
      </c>
      <c r="H43" s="27" t="n">
        <f aca="false">IF(H17=0,0,H31/H17)</f>
        <v>0.805455255506177</v>
      </c>
      <c r="I43" s="27" t="n">
        <f aca="false">IF(I17=0,0,I31/I17)</f>
        <v>0.855528508204326</v>
      </c>
    </row>
    <row r="45" customFormat="false" ht="15" hidden="false" customHeight="false" outlineLevel="0" collapsed="false">
      <c r="A45" s="3" t="s">
        <v>368</v>
      </c>
      <c r="B45" s="4"/>
      <c r="C45" s="4"/>
      <c r="D45" s="4"/>
      <c r="E45" s="4"/>
      <c r="F45" s="4"/>
      <c r="G45" s="4"/>
      <c r="H45" s="4"/>
      <c r="I45" s="4"/>
    </row>
    <row r="46" customFormat="false" ht="15" hidden="false" customHeight="false" outlineLevel="0" collapsed="false">
      <c r="A46" s="5" t="s">
        <v>369</v>
      </c>
      <c r="B46" s="26" t="n">
        <f aca="false">B8*'Unit economics'!$Q$11+B9*'Unit economics'!$Q$12</f>
        <v>10.24991</v>
      </c>
      <c r="C46" s="26" t="n">
        <f aca="false">C8*'Unit economics'!$Q$11+C9*'Unit economics'!$Q$12</f>
        <v>48.481554</v>
      </c>
      <c r="D46" s="26" t="n">
        <f aca="false">D8*'Unit economics'!$Q$11+D9*'Unit economics'!$Q$12</f>
        <v>95.57911</v>
      </c>
      <c r="E46" s="26" t="n">
        <f aca="false">E8*'Unit economics'!$Q$11+E9*'Unit economics'!$Q$12</f>
        <v>239.639774</v>
      </c>
      <c r="F46" s="26" t="n">
        <f aca="false">F8*'Unit economics'!$Q$11+F9*'Unit economics'!$Q$12</f>
        <v>477.89555</v>
      </c>
      <c r="G46" s="26" t="n">
        <f aca="false">G8*'Unit economics'!$Q$11+G9*'Unit economics'!$Q$12</f>
        <v>955.7911</v>
      </c>
      <c r="H46" s="26" t="n">
        <f aca="false">H8*'Unit economics'!$Q$11+H9*'Unit economics'!$Q$12</f>
        <v>2389.47775</v>
      </c>
      <c r="I46" s="26" t="n">
        <f aca="false">I8*'Unit economics'!$Q$11+I9*'Unit economics'!$Q$12</f>
        <v>4778.9555</v>
      </c>
    </row>
    <row r="47" customFormat="false" ht="15" hidden="false" customHeight="false" outlineLevel="0" collapsed="false">
      <c r="A47" s="7" t="s">
        <v>370</v>
      </c>
      <c r="B47" s="38" t="n">
        <f aca="false">B17-(B46+B26+B27)</f>
        <v>-209.30404491708</v>
      </c>
      <c r="C47" s="38" t="n">
        <f aca="false">C17-(C46+C26+C27)</f>
        <v>-123.002263938568</v>
      </c>
      <c r="D47" s="38" t="n">
        <f aca="false">D17-(D46+D26+D27)</f>
        <v>-16.927997553719</v>
      </c>
      <c r="E47" s="38" t="n">
        <f aca="false">E17-(E46+E26+E27)</f>
        <v>185.867640953995</v>
      </c>
      <c r="F47" s="38" t="n">
        <f aca="false">F17-(F46+F26+F27)</f>
        <v>723.450812231405</v>
      </c>
      <c r="G47" s="38" t="n">
        <f aca="false">G17-(G46+G26+G27)</f>
        <v>1525.38406619835</v>
      </c>
      <c r="H47" s="38" t="n">
        <f aca="false">H17-(H46+H26+H27)</f>
        <v>3965.18709049587</v>
      </c>
      <c r="I47" s="38" t="n">
        <f aca="false">I17-(I46+I26+I27)</f>
        <v>8666.95088099174</v>
      </c>
    </row>
    <row r="49" customFormat="false" ht="15" hidden="false" customHeight="false" outlineLevel="0" collapsed="false">
      <c r="A49" s="25" t="s">
        <v>371</v>
      </c>
    </row>
    <row r="50" customFormat="false" ht="15" hidden="false" customHeight="false" outlineLevel="0" collapsed="false">
      <c r="A50" s="25" t="s">
        <v>372</v>
      </c>
    </row>
    <row r="51" customFormat="false" ht="15" hidden="false" customHeight="false" outlineLevel="0" collapsed="false">
      <c r="A51" s="25" t="s">
        <v>373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24"/>
    <col collapsed="false" customWidth="true" hidden="false" outlineLevel="0" max="5" min="5" style="0" width="42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374</v>
      </c>
    </row>
    <row r="2" customFormat="false" ht="15" hidden="false" customHeight="false" outlineLevel="0" collapsed="false">
      <c r="A2" s="2" t="s">
        <v>375</v>
      </c>
    </row>
    <row r="4" customFormat="false" ht="15" hidden="false" customHeight="false" outlineLevel="0" collapsed="false">
      <c r="A4" s="13" t="s">
        <v>376</v>
      </c>
      <c r="B4" s="13" t="s">
        <v>377</v>
      </c>
      <c r="C4" s="13" t="s">
        <v>138</v>
      </c>
      <c r="D4" s="13" t="s">
        <v>141</v>
      </c>
      <c r="E4" s="13" t="s">
        <v>378</v>
      </c>
      <c r="F4" s="13" t="s">
        <v>379</v>
      </c>
    </row>
    <row r="5" customFormat="false" ht="26.85" hidden="false" customHeight="false" outlineLevel="0" collapsed="false">
      <c r="A5" s="43" t="s">
        <v>380</v>
      </c>
      <c r="B5" s="15" t="s">
        <v>381</v>
      </c>
      <c r="C5" s="15" t="s">
        <v>382</v>
      </c>
      <c r="D5" s="15" t="s">
        <v>383</v>
      </c>
      <c r="E5" s="15" t="s">
        <v>384</v>
      </c>
      <c r="F5" s="15" t="s">
        <v>385</v>
      </c>
    </row>
    <row r="6" customFormat="false" ht="27.6" hidden="false" customHeight="false" outlineLevel="0" collapsed="false">
      <c r="A6" s="43" t="s">
        <v>386</v>
      </c>
      <c r="B6" s="15" t="s">
        <v>377</v>
      </c>
      <c r="C6" s="15" t="s">
        <v>138</v>
      </c>
      <c r="D6" s="15" t="s">
        <v>141</v>
      </c>
      <c r="E6" s="15" t="s">
        <v>387</v>
      </c>
      <c r="F6" s="15" t="s">
        <v>388</v>
      </c>
    </row>
    <row r="7" customFormat="false" ht="26.85" hidden="false" customHeight="false" outlineLevel="0" collapsed="false">
      <c r="A7" s="43" t="s">
        <v>389</v>
      </c>
      <c r="B7" s="15" t="s">
        <v>390</v>
      </c>
      <c r="C7" s="15" t="s">
        <v>391</v>
      </c>
      <c r="D7" s="15" t="s">
        <v>391</v>
      </c>
      <c r="E7" s="15" t="s">
        <v>392</v>
      </c>
      <c r="F7" s="15" t="s">
        <v>393</v>
      </c>
    </row>
    <row r="8" customFormat="false" ht="15" hidden="false" customHeight="false" outlineLevel="0" collapsed="false">
      <c r="A8" s="43" t="s">
        <v>394</v>
      </c>
      <c r="B8" s="15" t="s">
        <v>395</v>
      </c>
      <c r="C8" s="15" t="s">
        <v>395</v>
      </c>
      <c r="D8" s="15" t="s">
        <v>159</v>
      </c>
      <c r="E8" s="15" t="s">
        <v>396</v>
      </c>
      <c r="F8" s="15" t="s">
        <v>397</v>
      </c>
    </row>
    <row r="9" customFormat="false" ht="26.85" hidden="false" customHeight="false" outlineLevel="0" collapsed="false">
      <c r="A9" s="43" t="s">
        <v>398</v>
      </c>
      <c r="B9" s="15" t="s">
        <v>399</v>
      </c>
      <c r="C9" s="15" t="s">
        <v>399</v>
      </c>
      <c r="D9" s="15" t="s">
        <v>400</v>
      </c>
      <c r="E9" s="15" t="s">
        <v>401</v>
      </c>
      <c r="F9" s="15" t="s">
        <v>402</v>
      </c>
    </row>
    <row r="10" customFormat="false" ht="26.85" hidden="false" customHeight="false" outlineLevel="0" collapsed="false">
      <c r="A10" s="43" t="s">
        <v>403</v>
      </c>
      <c r="B10" s="15" t="s">
        <v>159</v>
      </c>
      <c r="C10" s="15" t="s">
        <v>404</v>
      </c>
      <c r="D10" s="15" t="s">
        <v>405</v>
      </c>
      <c r="E10" s="15" t="s">
        <v>406</v>
      </c>
      <c r="F10" s="15" t="s">
        <v>407</v>
      </c>
    </row>
    <row r="11" customFormat="false" ht="26.85" hidden="false" customHeight="false" outlineLevel="0" collapsed="false">
      <c r="A11" s="43" t="s">
        <v>408</v>
      </c>
      <c r="B11" s="15" t="s">
        <v>159</v>
      </c>
      <c r="C11" s="15" t="s">
        <v>409</v>
      </c>
      <c r="D11" s="15" t="s">
        <v>405</v>
      </c>
      <c r="E11" s="15" t="s">
        <v>410</v>
      </c>
      <c r="F11" s="15" t="s">
        <v>411</v>
      </c>
    </row>
    <row r="12" customFormat="false" ht="15" hidden="false" customHeight="false" outlineLevel="0" collapsed="false">
      <c r="A12" s="43" t="s">
        <v>412</v>
      </c>
      <c r="B12" s="15" t="s">
        <v>159</v>
      </c>
      <c r="C12" s="15" t="s">
        <v>377</v>
      </c>
      <c r="D12" s="15" t="s">
        <v>377</v>
      </c>
      <c r="E12" s="15" t="s">
        <v>410</v>
      </c>
      <c r="F12" s="15" t="s">
        <v>413</v>
      </c>
    </row>
    <row r="13" customFormat="false" ht="27.6" hidden="false" customHeight="false" outlineLevel="0" collapsed="false">
      <c r="A13" s="43" t="s">
        <v>414</v>
      </c>
      <c r="B13" s="15" t="s">
        <v>159</v>
      </c>
      <c r="C13" s="15" t="s">
        <v>415</v>
      </c>
      <c r="D13" s="15" t="s">
        <v>416</v>
      </c>
      <c r="E13" s="15" t="s">
        <v>417</v>
      </c>
      <c r="F13" s="15" t="s">
        <v>418</v>
      </c>
    </row>
    <row r="14" customFormat="false" ht="15" hidden="false" customHeight="false" outlineLevel="0" collapsed="false">
      <c r="A14" s="43" t="s">
        <v>419</v>
      </c>
      <c r="B14" s="15" t="s">
        <v>159</v>
      </c>
      <c r="C14" s="15" t="s">
        <v>420</v>
      </c>
      <c r="D14" s="15" t="s">
        <v>421</v>
      </c>
      <c r="E14" s="15" t="s">
        <v>422</v>
      </c>
      <c r="F14" s="15" t="s">
        <v>423</v>
      </c>
    </row>
    <row r="15" customFormat="false" ht="15" hidden="false" customHeight="false" outlineLevel="0" collapsed="false">
      <c r="A15" s="43" t="s">
        <v>424</v>
      </c>
      <c r="B15" s="15" t="s">
        <v>425</v>
      </c>
      <c r="C15" s="15" t="s">
        <v>426</v>
      </c>
      <c r="D15" s="15" t="s">
        <v>427</v>
      </c>
      <c r="E15" s="15" t="s">
        <v>428</v>
      </c>
      <c r="F15" s="15" t="s">
        <v>429</v>
      </c>
    </row>
    <row r="16" customFormat="false" ht="15" hidden="false" customHeight="false" outlineLevel="0" collapsed="false">
      <c r="A16" s="43" t="s">
        <v>430</v>
      </c>
      <c r="B16" s="15" t="s">
        <v>431</v>
      </c>
      <c r="C16" s="15" t="s">
        <v>432</v>
      </c>
      <c r="D16" s="15" t="s">
        <v>433</v>
      </c>
      <c r="E16" s="15" t="s">
        <v>434</v>
      </c>
      <c r="F16" s="15" t="s">
        <v>435</v>
      </c>
    </row>
    <row r="17" customFormat="false" ht="15" hidden="false" customHeight="false" outlineLevel="0" collapsed="false">
      <c r="A17" s="43" t="s">
        <v>436</v>
      </c>
      <c r="B17" s="15" t="s">
        <v>437</v>
      </c>
      <c r="C17" s="15" t="s">
        <v>437</v>
      </c>
      <c r="D17" s="15" t="s">
        <v>437</v>
      </c>
      <c r="E17" s="15" t="s">
        <v>438</v>
      </c>
      <c r="F17" s="15" t="s">
        <v>439</v>
      </c>
    </row>
    <row r="18" customFormat="false" ht="26.85" hidden="false" customHeight="false" outlineLevel="0" collapsed="false">
      <c r="A18" s="43" t="s">
        <v>440</v>
      </c>
      <c r="B18" s="15" t="s">
        <v>159</v>
      </c>
      <c r="C18" s="15" t="s">
        <v>441</v>
      </c>
      <c r="D18" s="15" t="s">
        <v>442</v>
      </c>
      <c r="E18" s="15" t="s">
        <v>443</v>
      </c>
      <c r="F18" s="15" t="s">
        <v>444</v>
      </c>
    </row>
    <row r="19" customFormat="false" ht="26.85" hidden="false" customHeight="false" outlineLevel="0" collapsed="false">
      <c r="A19" s="43" t="s">
        <v>445</v>
      </c>
      <c r="B19" s="15" t="s">
        <v>159</v>
      </c>
      <c r="C19" s="15" t="s">
        <v>446</v>
      </c>
      <c r="D19" s="15" t="s">
        <v>447</v>
      </c>
      <c r="E19" s="15" t="s">
        <v>448</v>
      </c>
      <c r="F19" s="15" t="s">
        <v>449</v>
      </c>
    </row>
    <row r="21" customFormat="false" ht="15" hidden="false" customHeight="false" outlineLevel="0" collapsed="false">
      <c r="A21" s="3" t="s">
        <v>450</v>
      </c>
      <c r="B21" s="4"/>
      <c r="C21" s="4"/>
      <c r="D21" s="4"/>
      <c r="E21" s="4"/>
      <c r="F21" s="4"/>
    </row>
    <row r="22" customFormat="false" ht="31.5" hidden="false" customHeight="true" outlineLevel="0" collapsed="false">
      <c r="A22" s="5" t="n">
        <v>1</v>
      </c>
      <c r="B22" s="29" t="s">
        <v>451</v>
      </c>
      <c r="C22" s="29"/>
      <c r="D22" s="29"/>
      <c r="E22" s="29"/>
      <c r="F22" s="29"/>
    </row>
    <row r="23" customFormat="false" ht="31.5" hidden="false" customHeight="true" outlineLevel="0" collapsed="false">
      <c r="A23" s="5" t="n">
        <v>2</v>
      </c>
      <c r="B23" s="29" t="s">
        <v>452</v>
      </c>
      <c r="C23" s="29"/>
      <c r="D23" s="29"/>
      <c r="E23" s="29"/>
      <c r="F23" s="29"/>
    </row>
    <row r="24" customFormat="false" ht="31.5" hidden="false" customHeight="true" outlineLevel="0" collapsed="false">
      <c r="A24" s="5" t="n">
        <v>3</v>
      </c>
      <c r="B24" s="29" t="s">
        <v>453</v>
      </c>
      <c r="C24" s="29"/>
      <c r="D24" s="29"/>
      <c r="E24" s="29"/>
      <c r="F24" s="29"/>
    </row>
    <row r="25" customFormat="false" ht="31.5" hidden="false" customHeight="true" outlineLevel="0" collapsed="false">
      <c r="A25" s="5" t="n">
        <v>4</v>
      </c>
      <c r="B25" s="29" t="s">
        <v>454</v>
      </c>
      <c r="C25" s="29"/>
      <c r="D25" s="29"/>
      <c r="E25" s="29"/>
      <c r="F25" s="29"/>
    </row>
    <row r="26" customFormat="false" ht="31.5" hidden="false" customHeight="true" outlineLevel="0" collapsed="false">
      <c r="A26" s="5" t="n">
        <v>5</v>
      </c>
      <c r="B26" s="29" t="s">
        <v>455</v>
      </c>
      <c r="C26" s="29"/>
      <c r="D26" s="29"/>
      <c r="E26" s="29"/>
      <c r="F26" s="29"/>
    </row>
    <row r="27" customFormat="false" ht="31.5" hidden="false" customHeight="true" outlineLevel="0" collapsed="false">
      <c r="A27" s="5" t="n">
        <v>6</v>
      </c>
      <c r="B27" s="29" t="s">
        <v>456</v>
      </c>
      <c r="C27" s="29"/>
      <c r="D27" s="29"/>
      <c r="E27" s="29"/>
      <c r="F27" s="29"/>
    </row>
    <row r="28" customFormat="false" ht="31.5" hidden="false" customHeight="true" outlineLevel="0" collapsed="false">
      <c r="A28" s="5" t="n">
        <v>7</v>
      </c>
      <c r="B28" s="29" t="s">
        <v>457</v>
      </c>
      <c r="C28" s="29"/>
      <c r="D28" s="29"/>
      <c r="E28" s="29"/>
      <c r="F28" s="29"/>
    </row>
    <row r="29" customFormat="false" ht="31.5" hidden="false" customHeight="true" outlineLevel="0" collapsed="false">
      <c r="A29" s="5" t="n">
        <v>8</v>
      </c>
      <c r="B29" s="29" t="s">
        <v>458</v>
      </c>
      <c r="C29" s="29"/>
      <c r="D29" s="29"/>
      <c r="E29" s="29"/>
      <c r="F29" s="29"/>
    </row>
  </sheetData>
  <mergeCells count="8">
    <mergeCell ref="B22:F22"/>
    <mergeCell ref="B23:F23"/>
    <mergeCell ref="B24:F24"/>
    <mergeCell ref="B25:F25"/>
    <mergeCell ref="B26:F26"/>
    <mergeCell ref="B27:F27"/>
    <mergeCell ref="B28:F28"/>
    <mergeCell ref="B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2026-09-29T12:30:23Z</dcterms:created>
  <dc:creator>openpyxl</dc:creator>
  <dc:description/>
  <dc:language>en-US</dc:language>
  <cp:lastModifiedBy/>
  <dcterms:modified xsi:type="dcterms:W3CDTF">2026-09-29T12:30:34Z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