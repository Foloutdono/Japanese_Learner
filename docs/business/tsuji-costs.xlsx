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Offer review"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<sst xmlns="http://schemas.openxmlformats.org/spreadsheetml/2006/main" count="925" uniqueCount="704">
  <si>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</si>
  <si>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</si>
  <si>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</si>
  <si>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</si>
  <si>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</si>
  <si>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</si>
  <si>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</si>
  <si>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</si>
  <si>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</si>
  <si>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</si>
  <si>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</si>
  <si>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</si>
  <si>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</si>
  <si>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</si>
  <si>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</si>
  <si>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</si>
  <si>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</si>
  <si>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</si>
  <si>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</si>
  <si>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</si>
  <si>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</si>
  <si>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</si>
  <si>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</si>
  <si>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</si>
  <si>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</si>
  <si>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</si>
  <si>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</si>
  <si>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</si>
  <si>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</si>
  <si>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</si>
  <si>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</si>
  <si>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</si>
  <si>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</si>
  <si>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</si>
  <si>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</si>
  <si>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</si>
  <si>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</si>
  <si>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</si>
  <si>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</si>
  <si>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</si>
  <si>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</si>
  <si>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</si>
  <si>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</si>
  <si>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</si>
  <si>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</si>
  <si>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</si>
  <si>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</si>
  <si>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</si>
  <si>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</si>
  <si>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</si>
  <si>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</si>
  <si>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</si>
  <si>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</si>
  <si>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</si>
  <si>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</si>
  <si>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</si>
  <si>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</si>
  <si>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</si>
  <si>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</si>
  <si>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</si>
  <si>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</si>
  <si>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</si>
  <si>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</si>
  <si>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</si>
  <si>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</si>
  <si>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</si>
  <si>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</si>
  <si>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</si>
  <si>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</si>
  <si>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</si>
  <si>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</si>
  <si>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</si>
  <si>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</si>
  <si>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</si>
  <si>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</si>
  <si>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</si>
  <si>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</si>
  <si>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</si>
  <si>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</si>
  <si>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</si>
  <si>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</si>
  <si>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</si>
  <si>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</si>
  <si>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</si>
  <si>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</si>
  <si>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</si>
  <si>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</si>
  <si>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</si>
  <si>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</si>
  <si>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</si>
  <si>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</si>
  <si>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</si>
  <si>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</si>
  <si>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</si>
  <si>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</si>
  <si>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</si>
  <si>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</si>
  <si>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</si>
  <si>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</si>
  <si>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</si>
  <si>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</si>
  <si>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</si>
  <si>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</si>
  <si>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</si>
  <si>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</si>
  <si>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</si>
  <si>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</si>
  <si>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</si>
  <si>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scripts/llm_cost_model.py --fleet: Gemini 3.1 Flash-Lite, 70% light / 25% typical / 5% heavy, with caching. The free Explain button is included (phrase analysis, mostly cached).</t>
  </si>
  <si>
    <t xml:space="preserve">LLM cost – Pro user, worst case</t>
  </si>
  <si>
    <t xml:space="preserve">From 'AI worst case' (full-price tier): every AI allowance used to the full, every day.</t>
  </si>
  <si>
    <t xml:space="preserve">LLM cost – Max user, expected</t>
  </si>
  <si>
    <t xml:space="preserve">llm_cost_model.py 'typical' user: Max buyers use the app more.</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</si>
  <si>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</si>
  <si>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</si>
  <si>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</si>
  <si>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</si>
  <si>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</si>
  <si>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</si>
  <si>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</si>
  <si>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</si>
  <si>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</si>
  <si>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</si>
  <si>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</si>
  <si>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</si>
  <si>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</si>
  <si>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</si>
  <si>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</si>
  <si>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</si>
  <si>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</si>
  <si>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</si>
  <si>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</si>
  <si>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</si>
  <si>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</si>
  <si>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</si>
  <si>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</si>
  <si>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</si>
  <si>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</si>
  <si>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</si>
  <si>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</si>
  <si>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</si>
  <si>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</si>
  <si>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</si>
  <si>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of an annual plan</t>
  </si>
  <si>
    <t xml:space="preserve">Owner's decision, 26 Oct 2026: −25% and one month free, on every platform, for every account created before sales open. 'Pricing' shows what it does to the worst case.</t>
  </si>
  <si>
    <t xml:space="preserve">Founder offer: share of annual payers in their founder year</t>
  </si>
  <si>
    <t xml:space="preserve">% of annual payers</t>
  </si>
  <si>
    <t xml:space="preserve">The cohort is closed (~100 accounts): at break-even (~70 annual payers) about 10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</si>
  <si>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</si>
  <si>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</si>
  <si>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</si>
  <si>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</si>
  <si>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</si>
  <si>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120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</si>
  <si>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</si>
  <si>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</si>
  <si>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</si>
  <si>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</si>
  <si>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</si>
  <si>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</si>
  <si>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</si>
  <si>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</si>
  <si>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</si>
  <si>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</si>
  <si>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</si>
  <si>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Owner, 26 Oct 2026: about 100 sign-ups, 20–30 active.</t>
  </si>
  <si>
    <t xml:space="preserve">Sales open (end of early access)</t>
  </si>
  <si>
    <t xml:space="preserve">date</t>
  </si>
  <si>
    <t xml:space="preserve">Owner, 26 Oct 2026: in about two weeks.</t>
  </si>
  <si>
    <t xml:space="preserve">Target date for break-even (fixed costs covered)</t>
  </si>
  <si>
    <t xml:space="preserve">Proposal: the end-2026 goal could not be met (owner asked to adjust it).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</si>
  <si>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</si>
  <si>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</si>
  <si>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</si>
  <si>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</si>
  <si>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</si>
  <si>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</si>
  <si>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</si>
  <si>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the month; it only costs what an active account uses. Costed as Max, the dearer case.</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</si>
  <si>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</si>
  <si>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</si>
  <si>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</si>
  <si>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</si>
  <si>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</si>
  <si>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</si>
  <si>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</si>
  <si>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</si>
  <si>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</si>
  <si>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</si>
  <si>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</si>
  <si>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</si>
  <si>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</si>
  <si>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</si>
  <si>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</si>
  <si>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</si>
  <si>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</si>
  <si>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</si>
  <si>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</si>
  <si>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</si>
  <si>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</si>
  <si>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</si>
  <si>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</si>
  <si>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</si>
  <si>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</si>
  <si>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</si>
  <si>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</si>
  <si>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</si>
  <si>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</si>
  <si>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</si>
  <si>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</si>
  <si>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</si>
  <si>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</si>
  <si>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</si>
  <si>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</si>
  <si>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</si>
  <si>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</si>
  <si>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</si>
  <si>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</si>
  <si>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</si>
  <si>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</si>
  <si>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</si>
  <si>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</si>
  <si>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</si>
  <si>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</si>
  <si>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</si>
  <si>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</si>
  <si>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</si>
  <si>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</si>
  <si>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</si>
  <si>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</si>
  <si>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</si>
  <si>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</si>
  <si>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</si>
  <si>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</si>
  <si>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</si>
  <si>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</si>
  <si>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</si>
  <si>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</si>
  <si>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</si>
  <si>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</si>
  <si>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</si>
  <si>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</si>
  <si>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</si>
  <si>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</si>
  <si>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</si>
  <si>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</si>
  <si>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</si>
  <si>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</si>
  <si>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</si>
  <si>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</si>
  <si>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</si>
  <si>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</si>
  <si>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</si>
  <si>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</si>
  <si>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</si>
  <si>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</si>
  <si>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</si>
  <si>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 annual plan and one free month, every platform</t>
  </si>
  <si>
    <t xml:space="preserve">Full price (€/yr)</t>
  </si>
  <si>
    <t xml:space="preserve">Founder price (€/yr)</t>
  </si>
  <si>
    <t xml:space="preserve">Worst-case margin in-app (€/mo)</t>
  </si>
  <si>
    <t xml:space="preserve">Worst-case margin on the web, VAT-exempt (€/mo)</t>
  </si>
  <si>
    <t xml:space="preserve">Holds in-app?</t>
  </si>
  <si>
    <t xml:space="preserve">Holds on the web?</t>
  </si>
  <si>
    <t xml:space="preserve">In-app, a founder year loses money on a learner who maxes every AI allowance; on the web it holds. The cohort is closed (accounts created before sales open), so the loss is bounded: below.</t>
  </si>
  <si>
    <t xml:space="preserve">Founder rules to write: who qualifies (an account created before sales open), the free month (which plan, from when), the discount on the first year only, then the regular price with a reminder 30 days before renewal.</t>
  </si>
  <si>
    <t xml:space="preserve">Founder cohort, worst case a month (every founder payer maxes the AI in-app)</t>
  </si>
  <si>
    <t xml:space="preserve">The free month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</si>
  <si>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</si>
  <si>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</si>
  <si>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</si>
  <si>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</si>
  <si>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</si>
  <si>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</si>
  <si>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</si>
  <si>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</si>
  <si>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</si>
  <si>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</si>
  <si>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exercise (2 to 5 by mode; average)</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</si>
  <si>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</si>
  <si>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</si>
  <si>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</si>
  <si>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</si>
  <si>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</si>
  <si>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</si>
  <si>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</si>
  <si>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</si>
  <si>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</si>
  <si>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</si>
  <si>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</si>
  <si>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</si>
  <si>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</si>
  <si>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</si>
  <si>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</si>
  <si>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</si>
  <si>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</si>
  <si>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</si>
  <si>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</si>
  <si>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</si>
  <si>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</si>
  <si>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</si>
  <si>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</si>
  <si>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</si>
  <si>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</si>
  <si>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</si>
  <si>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</si>
  <si>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</si>
  <si>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</si>
  <si>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</si>
  <si>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</si>
  <si>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</si>
  <si>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65 a day: three daily missions of 15 and a bonus of 10 for all three (55), and weekly missions worth about 70 (10 a day). A practice exercise asked by a mission costs nothing.</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</si>
  <si>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</si>
  <si>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</si>
  <si>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</si>
  <si>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</si>
  <si>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</si>
  <si>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</si>
  <si>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</si>
  <si>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</si>
  <si>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</si>
  <si>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</si>
  <si>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</si>
  <si>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</si>
  <si>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</si>
  <si>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</si>
  <si>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</si>
  <si>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</si>
  <si>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</si>
  <si>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</si>
  <si>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</si>
  <si>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</si>
  <si>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</si>
  <si>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</si>
  <si>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</si>
  <si>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</si>
  <si>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</si>
  <si>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</si>
  <si>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</si>
  <si>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</si>
  <si>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</si>
  <si>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</si>
  <si>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</si>
  <si>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Papers already in the pool stay open to all (credits). TODAY: 5 new papers a day (EXAM_PAPERS_DAILY_LIMIT).</t>
  </si>
  <si>
    <t xml:space="preserve">New comprehension text generated</t>
  </si>
  <si>
    <t xml:space="preserve">day</t>
  </si>
  <si>
    <t xml:space="preserve">Texts from the pool are free to serve (30–60 hand-written seeds a level). TODAY: 10 a day (COMPREHENSION_DAILY_LIMIT).</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</si>
  <si>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</si>
  <si>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</si>
  <si>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</si>
  <si>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</si>
  <si>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</si>
  <si>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</si>
  <si>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</si>
  <si>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</si>
  <si>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</si>
  <si>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</si>
  <si>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</si>
  <si>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</si>
  <si>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</si>
  <si>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</si>
  <si>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</si>
  <si>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</si>
  <si>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</si>
  <si>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</si>
  <si>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</si>
  <si>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</si>
  <si>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</si>
  <si>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</si>
  <si>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</si>
  <si>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</si>
  <si>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</si>
  <si>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</si>
  <si>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</si>
  <si>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</si>
  <si>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</si>
  <si>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</si>
  <si>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</si>
  <si>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</si>
  <si>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</si>
  <si>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</si>
  <si>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</si>
  <si>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</si>
  <si>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</si>
  <si>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</si>
  <si>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</si>
  <si>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</si>
  <si>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</si>
  <si>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</si>
  <si>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</si>
  <si>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</si>
  <si>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</si>
  <si>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</si>
  <si>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</si>
  <si>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</si>
  <si>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</si>
  <si>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</si>
  <si>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</si>
  <si>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</si>
  <si>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</si>
  <si>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</si>
  <si>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</si>
  <si>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</si>
  <si>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</si>
  <si>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</si>
  <si>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</si>
  <si>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</si>
  <si>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</si>
  <si>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</si>
  <si>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</si>
  <si>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</si>
  <si>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</si>
  <si>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</si>
  <si>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</si>
  <si>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</si>
  <si>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</si>
  <si>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</si>
  <si>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</si>
  <si>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</si>
  <si>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</si>
  <si>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</si>
  <si>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</si>
  <si>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</si>
  <si>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</si>
  <si>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</si>
  <si>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</si>
  <si>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</si>
  <si>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</si>
  <si>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</si>
  <si>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</si>
  <si>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</si>
  <si>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</si>
  <si>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</si>
  <si>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</si>
  <si>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</si>
  <si>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</si>
  <si>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</si>
  <si>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</si>
  <si>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</si>
  <si>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</si>
  <si>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</si>
  <si>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</si>
  <si>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</si>
  <si>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</si>
  <si>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</si>
  <si>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</si>
  <si>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</si>
  <si>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</si>
  <si>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</si>
  <si>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</si>
  <si>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</si>
  <si>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</si>
  <si>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</si>
  <si>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</si>
  <si>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</si>
  <si>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</si>
  <si>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</si>
  <si>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</si>
  <si>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</si>
  <si>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</si>
  <si>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</si>
  <si>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</si>
  <si>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</si>
  <si>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</si>
  <si>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Not tied to any one user. §5.4: a full prewarm ≈ $4. Per-user LLM spend is in 'Unit economics'.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</si>
  <si>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</si>
  <si>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</si>
  <si>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</si>
  <si>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</si>
  <si>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</si>
  <si>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</si>
  <si>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</si>
  <si>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</si>
  <si>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</si>
  <si>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</si>
  <si>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</si>
  <si>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</si>
  <si>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</si>
  <si>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</si>
  <si>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</si>
  <si>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</si>
  <si>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</si>
  <si>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</si>
  <si>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</si>
  <si>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PLACEHOLDER: enter what you actually pay.</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</si>
  <si>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</si>
  <si>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</si>
  <si>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</si>
  <si>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</si>
  <si>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</si>
  <si>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</si>
  <si>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</si>
  <si>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annual plans carry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</si>
  <si>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</si>
  <si>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</si>
  <si>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</si>
  <si>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</si>
  <si>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</si>
  <si>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</si>
  <si>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</si>
  <si>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</si>
  <si>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</si>
  <si>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</si>
  <si>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</si>
  <si>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</si>
  <si>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</si>
  <si>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</si>
  <si>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</si>
  <si>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</si>
  <si>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</si>
  <si>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</si>
  <si>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</si>
  <si>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</si>
  <si>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</si>
  <si>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</si>
  <si>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</si>
  <si>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</si>
  <si>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</si>
  <si>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</si>
  <si>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</si>
  <si>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</si>
  <si>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</si>
  <si>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</si>
  <si>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</si>
  <si>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</si>
  <si>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</si>
  <si>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</si>
  <si>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</si>
  <si>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</si>
  <si>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</si>
  <si>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</si>
  <si>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</si>
  <si>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</si>
  <si>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</si>
  <si>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</si>
  <si>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</si>
  <si>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</si>
  <si>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</si>
  <si>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</si>
  <si>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</si>
  <si>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</si>
  <si>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</si>
  <si>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</si>
  <si>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</si>
  <si>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</si>
  <si>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</si>
  <si>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</si>
  <si>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</si>
  <si>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</si>
  <si>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</si>
  <si>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</si>
  <si>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</si>
  <si>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</si>
  <si>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</si>
  <si>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</si>
  <si>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</si>
  <si>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</si>
  <si>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</si>
  <si>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</si>
  <si>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</si>
  <si>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</si>
  <si>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</si>
  <si>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</si>
  <si>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</si>
  <si>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</si>
  <si>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</si>
  <si>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</si>
  <si>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</si>
  <si>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</si>
  <si>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</si>
  <si>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</si>
  <si>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</si>
  <si>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</si>
  <si>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</si>
  <si>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</si>
  <si>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</si>
  <si>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</si>
  <si>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</si>
  <si>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</si>
  <si>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</si>
  <si>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</si>
  <si>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</si>
  <si>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</si>
  <si>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</si>
  <si>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</si>
  <si>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</si>
  <si>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</si>
  <si>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</si>
  <si>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</si>
  <si>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</si>
  <si>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</si>
  <si>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</si>
  <si>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</si>
  <si>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</si>
  <si>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</si>
  <si>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</si>
  <si>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</si>
  <si>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</si>
  <si>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</si>
  <si>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</si>
  <si>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</si>
  <si>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</si>
  <si>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</si>
  <si>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</si>
  <si>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</si>
  <si>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</si>
  <si>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</si>
  <si>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</si>
  <si>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60 a day; the refill stops at 90</t>
  </si>
  <si>
    <t xml:space="preserve">120 a day; the refill stops at 200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</si>
  <si>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</si>
  <si>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</si>
  <si>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</si>
  <si>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</si>
  <si>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</si>
  <si>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</si>
  <si>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</si>
  <si>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</si>
  <si>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</si>
  <si>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</si>
  <si>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</si>
  <si>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</si>
  <si>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</si>
  <si>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</si>
  <si>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</si>
  <si>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</si>
  <si>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</si>
  <si>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</si>
  <si>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</si>
  <si>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2 to 5 credits by mode; free inside a mission</t>
  </si>
  <si>
    <t xml:space="preserve">Pass only; practice never spends credits.</t>
  </si>
  <si>
    <t xml:space="preserve">Decided. The price per mode to set.</t>
  </si>
  <si>
    <t xml:space="preserve">Solo games (end Nov 2026)</t>
  </si>
  <si>
    <t xml:space="preserve">Not built.</t>
  </si>
  <si>
    <t xml:space="preserve">Price per game to set.</t>
  </si>
  <si>
    <t xml:space="preserve">PvP: async duels, real time between friends, friends list</t>
  </si>
  <si>
    <t xml:space="preserve">Duels with friends free, others in credits; score free, corrections in credits</t>
  </si>
  <si>
    <t xml:space="preserve">Beta this week.</t>
  </si>
  <si>
    <t xml:space="preserve">Decided. Friends found by unique username,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</si>
  <si>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</si>
  <si>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</si>
  <si>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</si>
  <si>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</si>
  <si>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</si>
  <si>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</si>
  <si>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</si>
  <si>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</si>
  <si>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</si>
  <si>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</si>
  <si>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</si>
  <si>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</si>
  <si>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</si>
  <si>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</si>
  <si>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</si>
  <si>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</si>
  <si>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</si>
  <si>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</si>
  <si>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</si>
  <si>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Pool papers</t>
  </si>
  <si>
    <t xml:space="preserve">Pool + 2 new a month</t>
  </si>
  <si>
    <t xml:space="preserve">Pool + 4 new a month</t>
  </si>
  <si>
    <t xml:space="preserve">Pass only; 5 new papers a day.</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</si>
  <si>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</si>
  <si>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</si>
  <si>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</si>
  <si>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</si>
  <si>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</si>
  <si>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a minimum of followers (e.g. 3)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</si>
  <si>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</si>
  <si>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</si>
  <si>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</si>
  <si>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</si>
  <si>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</si>
  <si>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</si>
  <si>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</si>
  <si>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</si>
  <si>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</si>
  <si>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</si>
  <si>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</si>
  <si>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</si>
  <si>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</si>
  <si>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+ 1 free month</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</si>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</sst>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232.68245</c:v>
                </c:pt>
                <c:pt idx="1">
                  <c:v>232.68245</c:v>
                </c:pt>
                <c:pt idx="2">
                  <c:v>232.68245</c:v>
                </c:pt>
                <c:pt idx="3">
                  <c:v>355.32145</c:v>
                </c:pt>
                <c:pt idx="4">
                  <c:v>355.32145</c:v>
                </c:pt>
                <c:pt idx="5">
                  <c:v>355.32145</c:v>
                </c:pt>
                <c:pt idx="6">
                  <c:v>736.5767</c:v>
                </c:pt>
                <c:pt idx="7">
                  <c:v>736.5767</c:v>
                </c:pt>
              </c:numCache>
            </c:numRef>
          </c:val>
          <c:smooth val="1"/>
        </c:ser>
        <c:hiLowLines>
          <c:spPr>
            <a:ln w="0">
              <a:noFill/>
            </a:ln>
          </c:spPr>
        </c:hiLowLines>
        <c:marker val="0"/>
        <c:axId val="2450262"/>
        <c:axId val="84261895"/>
      </c:lineChart>
      <c:catAx>
        <c:axId val="245026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261895"/>
        <c:crosses val="autoZero"/>
        <c:auto val="1"/>
        <c:lblAlgn val="ctr"/>
        <c:lblOffset val="100"/>
        <c:noMultiLvlLbl val="0"/>
      </c:catAx>
      <c:valAx>
        <c:axId val="842618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502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232.68245</v>
      </c>
    </row>
    <row r="14" customFormat="false" ht="15" hidden="false" customHeight="true" outlineLevel="0" collapsed="false">
      <c r="A14" s="6" t="s">
        <v>10</v>
      </c>
      <c r="B14" s="7" t="n">
        <f aca="false">'Fixed costs'!$J$24</f>
        <v>355.32145</v>
      </c>
    </row>
    <row r="15" customFormat="false" ht="15" hidden="false" customHeight="true" outlineLevel="0" collapsed="false">
      <c r="A15" s="6" t="s">
        <v>11</v>
      </c>
      <c r="B15" s="7" t="n">
        <f aca="false">'Fixed costs'!$K$24</f>
        <v>736.5767</v>
      </c>
    </row>
    <row r="16" customFormat="false" ht="15" hidden="false" customHeight="true" outlineLevel="0" collapsed="false">
      <c r="A16" s="8" t="s">
        <v>12</v>
      </c>
      <c r="B16" s="9" t="n">
        <f aca="false">'Start-up costs'!$I$23+12*'Fixed costs'!$I$24</f>
        <v>3771.5164</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2.50400700896495</v>
      </c>
    </row>
    <row r="20" customFormat="false" ht="15" hidden="false" customHeight="true" outlineLevel="0" collapsed="false">
      <c r="A20" s="6" t="s">
        <v>15</v>
      </c>
      <c r="B20" s="7" t="n">
        <f aca="false">'Unit economics'!$O$12</f>
        <v>4.03520547678296</v>
      </c>
    </row>
    <row r="21" customFormat="false" ht="15" hidden="false" customHeight="true" outlineLevel="0" collapsed="false">
      <c r="A21" s="8" t="s">
        <v>16</v>
      </c>
      <c r="B21" s="9" t="n">
        <f aca="false">'Unit economics'!$O$13</f>
        <v>2.7824067303864</v>
      </c>
    </row>
    <row r="22" customFormat="false" ht="15" hidden="false" customHeight="true" outlineLevel="0" collapsed="false">
      <c r="A22" s="6" t="s">
        <v>17</v>
      </c>
      <c r="B22" s="7" t="n">
        <f aca="false">'Unit economics'!$R$13</f>
        <v>0.484572730386401</v>
      </c>
    </row>
    <row r="23" customFormat="false" ht="15" hidden="false" customHeight="true" outlineLevel="0" collapsed="false">
      <c r="A23" s="6" t="s">
        <v>18</v>
      </c>
      <c r="B23" s="7" t="n">
        <f aca="false">'Unit economics'!$C$29</f>
        <v>0.030812</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81</v>
      </c>
    </row>
    <row r="27" customFormat="false" ht="15" hidden="false" customHeight="true" outlineLevel="0" collapsed="false">
      <c r="A27" s="8" t="s">
        <v>21</v>
      </c>
      <c r="B27" s="10" t="n">
        <f aca="false">'Unit economics'!$E$23</f>
        <v>1470</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23.2718063723343</v>
      </c>
      <c r="C31" s="11" t="n">
        <f aca="false">Projection!C18</f>
        <v>113.144759308562</v>
      </c>
      <c r="D31" s="11" t="n">
        <f aca="false">Projection!D18</f>
        <v>223.212498462884</v>
      </c>
      <c r="E31" s="11" t="n">
        <f aca="false">Projection!E18</f>
        <v>556.629988478959</v>
      </c>
      <c r="F31" s="11" t="n">
        <f aca="false">Projection!F18</f>
        <v>1113.12272455905</v>
      </c>
      <c r="G31" s="11" t="n">
        <f aca="false">Projection!G18</f>
        <v>2060.88811396603</v>
      </c>
      <c r="H31" s="11" t="n">
        <f aca="false">Projection!H18</f>
        <v>5153.69016879277</v>
      </c>
      <c r="I31" s="11" t="n">
        <f aca="false">Projection!I18</f>
        <v>10304.4405698302</v>
      </c>
    </row>
    <row r="32" customFormat="false" ht="15" hidden="false" customHeight="true" outlineLevel="0" collapsed="false">
      <c r="A32" s="6" t="s">
        <v>25</v>
      </c>
      <c r="B32" s="11" t="n">
        <f aca="false">Projection!B29</f>
        <v>237.561452</v>
      </c>
      <c r="C32" s="11" t="n">
        <f aca="false">Projection!C29</f>
        <v>256.53716</v>
      </c>
      <c r="D32" s="11" t="n">
        <f aca="false">Projection!D29</f>
        <v>280.12172</v>
      </c>
      <c r="E32" s="11" t="n">
        <f aca="false">Projection!E29</f>
        <v>474.0547</v>
      </c>
      <c r="F32" s="11" t="n">
        <f aca="false">Projection!F29</f>
        <v>592.5178</v>
      </c>
      <c r="G32" s="11" t="n">
        <f aca="false">Projection!G29</f>
        <v>829.71415</v>
      </c>
      <c r="H32" s="11" t="n">
        <f aca="false">Projection!H29</f>
        <v>1922.55845</v>
      </c>
      <c r="I32" s="11" t="n">
        <f aca="false">Projection!I29</f>
        <v>3108.5402</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103.987062613037</v>
      </c>
      <c r="H33" s="11" t="n">
        <f aca="false">Projection!H34</f>
        <v>662.382002352517</v>
      </c>
      <c r="I33" s="11" t="n">
        <f aca="false">Projection!I34</f>
        <v>1475.15957581518</v>
      </c>
    </row>
    <row r="34" customFormat="false" ht="15" hidden="false" customHeight="true" outlineLevel="0" collapsed="false">
      <c r="A34" s="6" t="s">
        <v>27</v>
      </c>
      <c r="B34" s="11" t="n">
        <f aca="false">Projection!B35</f>
        <v>-214.289645627666</v>
      </c>
      <c r="C34" s="11" t="n">
        <f aca="false">Projection!C35</f>
        <v>-143.392400691438</v>
      </c>
      <c r="D34" s="11" t="n">
        <f aca="false">Projection!D35</f>
        <v>-56.9092215371157</v>
      </c>
      <c r="E34" s="11" t="n">
        <f aca="false">Projection!E35</f>
        <v>82.5752884789591</v>
      </c>
      <c r="F34" s="11" t="n">
        <f aca="false">Projection!F35</f>
        <v>520.60492455905</v>
      </c>
      <c r="G34" s="11" t="n">
        <f aca="false">Projection!G35</f>
        <v>1127.186901353</v>
      </c>
      <c r="H34" s="11" t="n">
        <f aca="false">Projection!H35</f>
        <v>2568.74971644025</v>
      </c>
      <c r="I34" s="11" t="n">
        <f aca="false">Projection!I35</f>
        <v>5720.74079401498</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2.37561452</v>
      </c>
      <c r="C37" s="7" t="n">
        <f aca="false">Projection!C40</f>
        <v>0.51307432</v>
      </c>
      <c r="D37" s="7" t="n">
        <f aca="false">Projection!D40</f>
        <v>0.28012172</v>
      </c>
      <c r="E37" s="7" t="n">
        <f aca="false">Projection!E40</f>
        <v>0.18962188</v>
      </c>
      <c r="F37" s="7" t="n">
        <f aca="false">Projection!F40</f>
        <v>0.11850356</v>
      </c>
      <c r="G37" s="7" t="n">
        <f aca="false">Projection!G40</f>
        <v>0.082971415</v>
      </c>
      <c r="H37" s="7" t="n">
        <f aca="false">Projection!H40</f>
        <v>0.076902338</v>
      </c>
      <c r="I37" s="7" t="n">
        <f aca="false">Projection!I40</f>
        <v>0.062170804</v>
      </c>
    </row>
    <row r="38" customFormat="false" ht="15" hidden="false" customHeight="true" outlineLevel="0" collapsed="false">
      <c r="A38" s="6" t="s">
        <v>31</v>
      </c>
      <c r="B38" s="7" t="n">
        <f aca="false">Projection!B41</f>
        <v>39.5935753333333</v>
      </c>
      <c r="C38" s="7" t="n">
        <f aca="false">Projection!C41</f>
        <v>9.16204142857143</v>
      </c>
      <c r="D38" s="7" t="n">
        <f aca="false">Projection!D41</f>
        <v>5.09312218181818</v>
      </c>
      <c r="E38" s="7" t="n">
        <f aca="false">Projection!E41</f>
        <v>3.43517898550725</v>
      </c>
      <c r="F38" s="7" t="n">
        <f aca="false">Projection!F41</f>
        <v>2.15461018181818</v>
      </c>
      <c r="G38" s="7" t="n">
        <f aca="false">Projection!G41</f>
        <v>1.50857118181818</v>
      </c>
      <c r="H38" s="7" t="n">
        <f aca="false">Projection!H41</f>
        <v>1.39822432727273</v>
      </c>
      <c r="I38" s="7" t="n">
        <f aca="false">Projection!I41</f>
        <v>1.13037825454545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25</v>
      </c>
    </row>
    <row r="42" customFormat="false" ht="15" hidden="false" customHeight="false" outlineLevel="0" collapsed="false">
      <c r="A42" s="6" t="s">
        <v>34</v>
      </c>
      <c r="B42" s="15" t="n">
        <f aca="false">'Unit economics'!$E$23</f>
        <v>1470</v>
      </c>
    </row>
    <row r="43" customFormat="false" ht="15" hidden="false" customHeight="false" outlineLevel="0" collapsed="false">
      <c r="A43" s="6" t="s">
        <v>35</v>
      </c>
      <c r="B43" s="16" t="n">
        <f aca="false">IF(OR(B41=0,NOT(ISNUMBER(B42))),0,B42/B41)</f>
        <v>58.8</v>
      </c>
    </row>
    <row r="44" customFormat="false" ht="15" hidden="false" customHeight="false" outlineLevel="0" collapsed="false">
      <c r="A44" s="6" t="s">
        <v>36</v>
      </c>
      <c r="B44" s="17" t="n">
        <f aca="true">MAX(0,(Assumptions!$B$61-TODAY())/30.44)</f>
        <v>8.11432325886991</v>
      </c>
    </row>
    <row r="45" customFormat="false" ht="15" hidden="false" customHeight="false" outlineLevel="0" collapsed="false">
      <c r="A45" s="6" t="s">
        <v>37</v>
      </c>
      <c r="B45" s="18" t="n">
        <f aca="false">IF(OR(B41=0,B44=0,NOT(ISNUMBER(B42))),0,(B42/B41)^(1/B44)-1)</f>
        <v>0.652175036424316</v>
      </c>
    </row>
    <row r="46" customFormat="false" ht="15" hidden="false" customHeight="false" outlineLevel="0" collapsed="false">
      <c r="A46" s="6" t="s">
        <v>38</v>
      </c>
      <c r="B46" s="19" t="n">
        <f aca="true">IF(B45=0,0,B41*(1+B45)^(MAX(0,DATE(2026,12,31)-TODAY())/30.44))</f>
        <v>74.255579504476</v>
      </c>
    </row>
    <row r="47" customFormat="false" ht="15" hidden="false" customHeight="false" outlineLevel="0" collapsed="false">
      <c r="A47" s="6" t="s">
        <v>39</v>
      </c>
      <c r="B47" s="19" t="n">
        <f aca="true">IF(B45=0,0,B41*(1+B45)^(MAX(0,Assumptions!$B$60-TODAY())/30.44))</f>
        <v>31.4940564840997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0.27</v>
      </c>
      <c r="C31" s="6" t="s">
        <v>107</v>
      </c>
      <c r="D31" s="22" t="s">
        <v>108</v>
      </c>
    </row>
    <row r="32" customFormat="false" ht="15" hidden="false" customHeight="true" outlineLevel="0" collapsed="false">
      <c r="A32" s="6" t="s">
        <v>109</v>
      </c>
      <c r="B32" s="30" t="n">
        <f aca="false">'AI worst case'!$L$26</f>
        <v>2.4</v>
      </c>
      <c r="C32" s="6" t="s">
        <v>107</v>
      </c>
      <c r="D32" s="22" t="s">
        <v>110</v>
      </c>
    </row>
    <row r="33" customFormat="false" ht="15" hidden="false" customHeight="true" outlineLevel="0" collapsed="false">
      <c r="A33" s="6" t="s">
        <v>111</v>
      </c>
      <c r="B33" s="29" t="n">
        <v>0.44</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0.02</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146</v>
      </c>
      <c r="D53" s="6" t="s">
        <v>147</v>
      </c>
    </row>
    <row r="54" customFormat="false" ht="15" hidden="false" customHeight="true" outlineLevel="0" collapsed="false">
      <c r="A54" s="6" t="s">
        <v>148</v>
      </c>
      <c r="B54" s="23" t="n">
        <v>0.01</v>
      </c>
      <c r="C54" s="6" t="s">
        <v>149</v>
      </c>
      <c r="D54" s="6" t="s">
        <v>150</v>
      </c>
    </row>
    <row r="55" customFormat="false" ht="15" hidden="false" customHeight="true" outlineLevel="0" collapsed="false">
      <c r="A55" s="6" t="s">
        <v>151</v>
      </c>
      <c r="B55" s="23" t="n">
        <v>0.05</v>
      </c>
      <c r="C55" s="6" t="s">
        <v>152</v>
      </c>
      <c r="D55" s="6" t="s">
        <v>153</v>
      </c>
    </row>
    <row r="56" customFormat="false" ht="15" hidden="false" customHeight="true" outlineLevel="0" collapsed="false">
      <c r="A56" s="6" t="s">
        <v>154</v>
      </c>
      <c r="B56" s="33" t="n">
        <v>1.2</v>
      </c>
      <c r="C56" s="6" t="s">
        <v>155</v>
      </c>
      <c r="D56" s="6" t="s">
        <v>156</v>
      </c>
    </row>
    <row r="57" customFormat="false" ht="15" hidden="false" customHeight="true" outlineLevel="0" collapsed="false">
      <c r="A57" s="6" t="s">
        <v>157</v>
      </c>
      <c r="B57" s="7" t="n">
        <f aca="false">'Credit shop'!$C$21</f>
        <v>3.39</v>
      </c>
      <c r="C57" s="6" t="s">
        <v>158</v>
      </c>
      <c r="D57" s="6" t="s">
        <v>159</v>
      </c>
    </row>
    <row r="58" customFormat="false" ht="15" hidden="false" customHeight="true" outlineLevel="0" collapsed="false">
      <c r="A58" s="6" t="s">
        <v>160</v>
      </c>
      <c r="B58" s="25" t="n">
        <v>0.9</v>
      </c>
      <c r="C58" s="6" t="s">
        <v>161</v>
      </c>
      <c r="D58" s="6" t="s">
        <v>162</v>
      </c>
    </row>
    <row r="59" customFormat="false" ht="15" hidden="false" customHeight="true" outlineLevel="0" collapsed="false">
      <c r="A59" s="6" t="s">
        <v>163</v>
      </c>
      <c r="B59" s="31" t="n">
        <v>25</v>
      </c>
      <c r="C59" s="6" t="s">
        <v>164</v>
      </c>
      <c r="D59" s="6" t="s">
        <v>165</v>
      </c>
    </row>
    <row r="60" customFormat="false" ht="15" hidden="false" customHeight="true" outlineLevel="0" collapsed="false">
      <c r="A60" s="6" t="s">
        <v>166</v>
      </c>
      <c r="B60" s="34" t="n">
        <v>46335</v>
      </c>
      <c r="C60" s="6" t="s">
        <v>167</v>
      </c>
      <c r="D60" s="6" t="s">
        <v>168</v>
      </c>
    </row>
    <row r="61" customFormat="false" ht="15" hidden="false" customHeight="true" outlineLevel="0" collapsed="false">
      <c r="A61" s="6" t="s">
        <v>169</v>
      </c>
      <c r="B61" s="35" t="n">
        <v>46568</v>
      </c>
      <c r="C61" s="6" t="s">
        <v>167</v>
      </c>
      <c r="D61" s="6" t="s">
        <v>170</v>
      </c>
    </row>
    <row r="62" customFormat="false" ht="15" hidden="false" customHeight="true" outlineLevel="0" collapsed="false">
      <c r="A62" s="6" t="s">
        <v>171</v>
      </c>
      <c r="B62" s="36" t="n">
        <v>100</v>
      </c>
      <c r="C62" s="6" t="s">
        <v>172</v>
      </c>
      <c r="D62" s="6" t="s">
        <v>173</v>
      </c>
    </row>
    <row r="63" customFormat="false" ht="15" hidden="false" customHeight="true" outlineLevel="0" collapsed="false">
      <c r="A63" s="6" t="s">
        <v>174</v>
      </c>
      <c r="B63" s="23" t="n">
        <v>0.1</v>
      </c>
      <c r="C63" s="6" t="s">
        <v>175</v>
      </c>
      <c r="D63" s="6" t="s">
        <v>176</v>
      </c>
    </row>
    <row r="64" customFormat="false" ht="15" hidden="false" customHeight="true" outlineLevel="0" collapsed="false">
      <c r="A64" s="6" t="s">
        <v>177</v>
      </c>
      <c r="B64" s="23" t="n">
        <v>0.5</v>
      </c>
      <c r="C64" s="6" t="s">
        <v>175</v>
      </c>
      <c r="D64" s="6"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179</v>
      </c>
    </row>
    <row r="2" customFormat="false" ht="15" hidden="false" customHeight="true" outlineLevel="0" collapsed="false">
      <c r="A2" s="3" t="s">
        <v>180</v>
      </c>
    </row>
    <row r="4" customFormat="false" ht="26.25" hidden="false" customHeight="true" outlineLevel="0" collapsed="false">
      <c r="A4" s="20" t="s">
        <v>181</v>
      </c>
      <c r="B4" s="20" t="s">
        <v>182</v>
      </c>
      <c r="C4" s="20" t="s">
        <v>183</v>
      </c>
      <c r="D4" s="20" t="s">
        <v>184</v>
      </c>
      <c r="E4" s="20" t="s">
        <v>185</v>
      </c>
      <c r="F4" s="20" t="s">
        <v>186</v>
      </c>
      <c r="G4" s="20" t="s">
        <v>187</v>
      </c>
      <c r="H4" s="20" t="s">
        <v>188</v>
      </c>
    </row>
    <row r="5" customFormat="false" ht="15" hidden="false" customHeight="true" outlineLevel="0" collapsed="false">
      <c r="A5" s="6" t="s">
        <v>189</v>
      </c>
      <c r="B5" s="6" t="s">
        <v>190</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189</v>
      </c>
      <c r="B6" s="6" t="s">
        <v>191</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192</v>
      </c>
      <c r="B7" s="6" t="s">
        <v>190</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192</v>
      </c>
      <c r="B8" s="6" t="s">
        <v>191</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193</v>
      </c>
      <c r="B10" s="5"/>
      <c r="C10" s="5"/>
      <c r="D10" s="5"/>
      <c r="E10" s="5"/>
      <c r="F10" s="5"/>
      <c r="G10" s="5"/>
      <c r="H10" s="5"/>
    </row>
    <row r="11" customFormat="false" ht="15" hidden="false" customHeight="true" outlineLevel="0" collapsed="false">
      <c r="A11" s="6" t="s">
        <v>194</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195</v>
      </c>
      <c r="D12" s="37" t="n">
        <f aca="false">(D8-D6)/12</f>
        <v>1.66666666666667</v>
      </c>
    </row>
    <row r="13" customFormat="false" ht="15" hidden="false" customHeight="true" outlineLevel="0" collapsed="false">
      <c r="A13" s="6" t="s">
        <v>196</v>
      </c>
      <c r="D13" s="37" t="n">
        <f aca="false">D7-D5</f>
        <v>3</v>
      </c>
    </row>
    <row r="14" customFormat="false" ht="15" hidden="false" customHeight="true" outlineLevel="0" collapsed="false">
      <c r="A14" s="32" t="s">
        <v>197</v>
      </c>
    </row>
    <row r="16" customFormat="false" ht="15" hidden="false" customHeight="true" outlineLevel="0" collapsed="false">
      <c r="A16" s="4" t="s">
        <v>198</v>
      </c>
      <c r="B16" s="5"/>
      <c r="C16" s="5"/>
      <c r="D16" s="5"/>
      <c r="E16" s="5"/>
      <c r="F16" s="5"/>
      <c r="G16" s="5"/>
      <c r="H16" s="5"/>
    </row>
    <row r="17" customFormat="false" ht="15" hidden="false" customHeight="true" outlineLevel="0" collapsed="false">
      <c r="A17" s="20" t="s">
        <v>199</v>
      </c>
      <c r="B17" s="20" t="s">
        <v>200</v>
      </c>
      <c r="C17" s="20" t="s">
        <v>201</v>
      </c>
      <c r="D17" s="20" t="s">
        <v>202</v>
      </c>
      <c r="E17" s="20" t="s">
        <v>203</v>
      </c>
      <c r="F17" s="20"/>
      <c r="G17" s="20"/>
      <c r="H17" s="20" t="s">
        <v>204</v>
      </c>
    </row>
    <row r="18" customFormat="false" ht="15" hidden="false" customHeight="true" outlineLevel="0" collapsed="false">
      <c r="A18" s="6" t="s">
        <v>205</v>
      </c>
      <c r="B18" s="6" t="s">
        <v>206</v>
      </c>
      <c r="C18" s="39" t="n">
        <v>9</v>
      </c>
      <c r="D18" s="39" t="n">
        <v>89</v>
      </c>
      <c r="E18" s="39" t="n">
        <v>299</v>
      </c>
      <c r="H18" s="6" t="s">
        <v>207</v>
      </c>
    </row>
    <row r="19" customFormat="false" ht="15" hidden="false" customHeight="true" outlineLevel="0" collapsed="false">
      <c r="A19" s="6" t="s">
        <v>208</v>
      </c>
      <c r="B19" s="6" t="s">
        <v>209</v>
      </c>
      <c r="C19" s="39" t="n">
        <v>5</v>
      </c>
      <c r="D19" s="39" t="s">
        <v>210</v>
      </c>
      <c r="E19" s="39" t="n">
        <v>150</v>
      </c>
      <c r="H19" s="6" t="s">
        <v>211</v>
      </c>
    </row>
    <row r="20" customFormat="false" ht="15" hidden="false" customHeight="true" outlineLevel="0" collapsed="false">
      <c r="A20" s="6" t="s">
        <v>212</v>
      </c>
      <c r="B20" s="6" t="s">
        <v>213</v>
      </c>
      <c r="C20" s="39" t="n">
        <v>6.99</v>
      </c>
      <c r="D20" s="39" t="n">
        <v>49.99</v>
      </c>
      <c r="E20" s="39" t="n">
        <v>109.99</v>
      </c>
      <c r="H20" s="6" t="s">
        <v>214</v>
      </c>
    </row>
    <row r="21" customFormat="false" ht="15" hidden="false" customHeight="true" outlineLevel="0" collapsed="false">
      <c r="A21" s="6" t="s">
        <v>215</v>
      </c>
      <c r="B21" s="6" t="s">
        <v>216</v>
      </c>
      <c r="C21" s="39" t="n">
        <v>14</v>
      </c>
      <c r="D21" s="39" t="s">
        <v>210</v>
      </c>
      <c r="E21" s="39" t="s">
        <v>210</v>
      </c>
      <c r="H21" s="6" t="s">
        <v>217</v>
      </c>
    </row>
    <row r="23" customFormat="false" ht="15" hidden="false" customHeight="true" outlineLevel="0" collapsed="false">
      <c r="A23" s="4" t="s">
        <v>218</v>
      </c>
      <c r="B23" s="5"/>
      <c r="C23" s="5"/>
      <c r="D23" s="5"/>
      <c r="E23" s="5"/>
      <c r="F23" s="5"/>
      <c r="G23" s="5"/>
      <c r="H23" s="5"/>
    </row>
    <row r="24" customFormat="false" ht="31.5" hidden="false" customHeight="true" outlineLevel="0" collapsed="false">
      <c r="A24" s="6" t="n">
        <v>1</v>
      </c>
      <c r="B24" s="40" t="s">
        <v>219</v>
      </c>
      <c r="C24" s="40"/>
      <c r="D24" s="40"/>
      <c r="E24" s="40"/>
      <c r="F24" s="40"/>
      <c r="G24" s="40"/>
      <c r="H24" s="40"/>
    </row>
    <row r="25" customFormat="false" ht="31.5" hidden="false" customHeight="true" outlineLevel="0" collapsed="false">
      <c r="A25" s="6" t="n">
        <v>2</v>
      </c>
      <c r="B25" s="40" t="s">
        <v>220</v>
      </c>
      <c r="C25" s="40"/>
      <c r="D25" s="40"/>
      <c r="E25" s="40"/>
      <c r="F25" s="40"/>
      <c r="G25" s="40"/>
      <c r="H25" s="40"/>
    </row>
    <row r="26" customFormat="false" ht="31.5" hidden="false" customHeight="true" outlineLevel="0" collapsed="false">
      <c r="A26" s="6" t="n">
        <v>3</v>
      </c>
      <c r="B26" s="40" t="s">
        <v>221</v>
      </c>
      <c r="C26" s="40"/>
      <c r="D26" s="40"/>
      <c r="E26" s="40"/>
      <c r="F26" s="40"/>
      <c r="G26" s="40"/>
      <c r="H26" s="40"/>
    </row>
    <row r="27" customFormat="false" ht="31.5" hidden="false" customHeight="true" outlineLevel="0" collapsed="false">
      <c r="A27" s="6" t="n">
        <v>4</v>
      </c>
      <c r="B27" s="40" t="s">
        <v>222</v>
      </c>
      <c r="C27" s="40"/>
      <c r="D27" s="40"/>
      <c r="E27" s="40"/>
      <c r="F27" s="40"/>
      <c r="G27" s="40"/>
      <c r="H27" s="40"/>
    </row>
    <row r="28" customFormat="false" ht="31.5" hidden="false" customHeight="true" outlineLevel="0" collapsed="false">
      <c r="A28" s="6" t="n">
        <v>5</v>
      </c>
      <c r="B28" s="40" t="s">
        <v>223</v>
      </c>
      <c r="C28" s="40"/>
      <c r="D28" s="40"/>
      <c r="E28" s="40"/>
      <c r="F28" s="40"/>
      <c r="G28" s="40"/>
      <c r="H28" s="40"/>
    </row>
    <row r="29" customFormat="false" ht="31.5" hidden="false" customHeight="true" outlineLevel="0" collapsed="false">
      <c r="A29" s="6" t="n">
        <v>6</v>
      </c>
      <c r="B29" s="40" t="s">
        <v>224</v>
      </c>
      <c r="C29" s="40"/>
      <c r="D29" s="40"/>
      <c r="E29" s="40"/>
      <c r="F29" s="40"/>
      <c r="G29" s="40"/>
      <c r="H29" s="40"/>
    </row>
    <row r="30" customFormat="false" ht="31.5" hidden="false" customHeight="true" outlineLevel="0" collapsed="false">
      <c r="A30" s="6" t="n">
        <v>7</v>
      </c>
      <c r="B30" s="40" t="s">
        <v>225</v>
      </c>
      <c r="C30" s="40"/>
      <c r="D30" s="40"/>
      <c r="E30" s="40"/>
      <c r="F30" s="40"/>
      <c r="G30" s="40"/>
      <c r="H30" s="40"/>
    </row>
    <row r="31" customFormat="false" ht="31.5" hidden="false" customHeight="true" outlineLevel="0" collapsed="false">
      <c r="A31" s="6" t="n">
        <v>8</v>
      </c>
      <c r="B31" s="40" t="s">
        <v>226</v>
      </c>
      <c r="C31" s="40"/>
      <c r="D31" s="40"/>
      <c r="E31" s="40"/>
      <c r="F31" s="40"/>
      <c r="G31" s="40"/>
      <c r="H31" s="40"/>
    </row>
    <row r="33" customFormat="false" ht="15" hidden="false" customHeight="true" outlineLevel="0" collapsed="false">
      <c r="A33" s="4" t="s">
        <v>227</v>
      </c>
      <c r="B33" s="5"/>
      <c r="C33" s="5"/>
      <c r="D33" s="5"/>
      <c r="E33" s="5"/>
      <c r="F33" s="5"/>
      <c r="G33" s="5"/>
      <c r="H33" s="5"/>
      <c r="I33" s="5"/>
      <c r="J33" s="5"/>
      <c r="K33" s="5"/>
      <c r="L33" s="5"/>
      <c r="M33" s="5"/>
      <c r="N33" s="5"/>
    </row>
    <row r="34" customFormat="false" ht="57.75" hidden="false" customHeight="true" outlineLevel="0" collapsed="false">
      <c r="A34" s="20" t="s">
        <v>228</v>
      </c>
      <c r="B34" s="20" t="s">
        <v>229</v>
      </c>
      <c r="C34" s="20" t="s">
        <v>230</v>
      </c>
      <c r="D34" s="20" t="s">
        <v>231</v>
      </c>
      <c r="E34" s="20" t="s">
        <v>232</v>
      </c>
      <c r="F34" s="20" t="s">
        <v>233</v>
      </c>
      <c r="G34" s="20" t="s">
        <v>234</v>
      </c>
      <c r="H34" s="20" t="s">
        <v>235</v>
      </c>
      <c r="I34" s="20" t="s">
        <v>236</v>
      </c>
      <c r="J34" s="20" t="s">
        <v>237</v>
      </c>
      <c r="K34" s="20" t="s">
        <v>238</v>
      </c>
      <c r="L34" s="20" t="s">
        <v>239</v>
      </c>
      <c r="M34" s="20" t="s">
        <v>240</v>
      </c>
      <c r="N34" s="20" t="s">
        <v>241</v>
      </c>
    </row>
    <row r="35" customFormat="false" ht="30" hidden="false" customHeight="true" outlineLevel="0" collapsed="false">
      <c r="A35" s="6" t="s">
        <v>242</v>
      </c>
      <c r="B35" s="22" t="s">
        <v>243</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0.987931900826446</v>
      </c>
      <c r="K35" s="37" t="n">
        <f aca="false">MIN(G35/12/(1+Assumptions!$B$7)*(1-Assumptions!$B$21),(G35/(1+Assumptions!$B$7)-(G35*(Assumptions!$B$22+Assumptions!$B$24)+Assumptions!$B$23))/12)-'AI worst case'!$F$33-Assumptions!$B$36</f>
        <v>0.408971845730028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244</v>
      </c>
      <c r="B36" s="22" t="s">
        <v>245</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0.939987360483471</v>
      </c>
      <c r="K36" s="37" t="n">
        <f aca="false">MIN(G36/12/(1+Assumptions!$B$7)*(1-Assumptions!$B$21),(G36/(1+Assumptions!$B$7)-(G36*(Assumptions!$B$22+Assumptions!$B$24)+Assumptions!$B$23))/12)-'AI worst case'!$F$34-Assumptions!$B$36</f>
        <v>0.361027305387052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246</v>
      </c>
      <c r="B37" s="22" t="s">
        <v>247</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0.733015726640496</v>
      </c>
      <c r="K37" s="37" t="n">
        <f aca="false">MIN(G37/12/(1+Assumptions!$B$7)*(1-Assumptions!$B$21),(G37/(1+Assumptions!$B$7)-(G37*(Assumptions!$B$22+Assumptions!$B$24)+Assumptions!$B$23))/12)-'AI worst case'!$F$35-Assumptions!$B$36</f>
        <v>0.27113556135124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248</v>
      </c>
      <c r="B38" s="22" t="s">
        <v>249</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250</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251</v>
      </c>
    </row>
    <row r="42" customFormat="false" ht="15" hidden="false" customHeight="true" outlineLevel="0" collapsed="false">
      <c r="A42" s="32" t="s">
        <v>252</v>
      </c>
    </row>
    <row r="43" customFormat="false" ht="15" hidden="false" customHeight="true" outlineLevel="0" collapsed="false">
      <c r="A43" s="32" t="s">
        <v>253</v>
      </c>
    </row>
    <row r="44" customFormat="false" ht="15" hidden="false" customHeight="true" outlineLevel="0" collapsed="false">
      <c r="A44" s="32" t="s">
        <v>254</v>
      </c>
    </row>
    <row r="45" customFormat="false" ht="15" hidden="false" customHeight="true" outlineLevel="0" collapsed="false">
      <c r="A45" s="32" t="s">
        <v>255</v>
      </c>
    </row>
    <row r="46" customFormat="false" ht="15" hidden="false" customHeight="true" outlineLevel="0" collapsed="false">
      <c r="A46" s="32" t="s">
        <v>256</v>
      </c>
    </row>
    <row r="48" customFormat="false" ht="15" hidden="false" customHeight="false" outlineLevel="0" collapsed="false">
      <c r="A48" s="14" t="s">
        <v>257</v>
      </c>
      <c r="B48" s="14"/>
      <c r="C48" s="14"/>
      <c r="D48" s="14"/>
      <c r="E48" s="14"/>
      <c r="F48" s="14"/>
      <c r="G48" s="14"/>
      <c r="H48" s="14"/>
    </row>
    <row r="49" customFormat="false" ht="45" hidden="false" customHeight="true" outlineLevel="0" collapsed="false">
      <c r="A49" s="20" t="s">
        <v>181</v>
      </c>
      <c r="B49" s="20" t="s">
        <v>258</v>
      </c>
      <c r="C49" s="20" t="s">
        <v>259</v>
      </c>
      <c r="D49" s="20" t="s">
        <v>260</v>
      </c>
      <c r="E49" s="20" t="s">
        <v>261</v>
      </c>
      <c r="F49" s="20" t="s">
        <v>262</v>
      </c>
      <c r="G49" s="20" t="s">
        <v>263</v>
      </c>
    </row>
    <row r="50" customFormat="false" ht="15" hidden="false" customHeight="false" outlineLevel="0" collapsed="false">
      <c r="A50" s="6" t="s">
        <v>189</v>
      </c>
      <c r="B50" s="37" t="n">
        <f aca="false">$D$6</f>
        <v>49.99</v>
      </c>
      <c r="C50" s="37" t="n">
        <f aca="false">MAX(0.99,CEILING($D$6*(1-Assumptions!$B$52),1)-0.01)</f>
        <v>37.99</v>
      </c>
      <c r="D50" s="37" t="n">
        <f aca="false">C50/12/(1+Assumptions!$B$7)*(1-Assumptions!$B$21)-'AI worst case'!$F$33-Assumptions!$B$36</f>
        <v>-0.293507493112948</v>
      </c>
      <c r="E50" s="37" t="n">
        <f aca="false">(C50-(C50*(Assumptions!$B$22+Assumptions!$B$24)+Assumptions!$B$23))/12-'AI worst case'!$F$33-Assumptions!$B$36</f>
        <v>0.557911666666667</v>
      </c>
      <c r="F50" s="6" t="str">
        <f aca="false">IF(D50&gt;='AI worst case'!$B$10,"yes","NO")</f>
        <v>NO</v>
      </c>
      <c r="G50" s="6" t="str">
        <f aca="false">IF(E50&gt;='AI worst case'!$B$10,"yes","NO")</f>
        <v>yes</v>
      </c>
    </row>
    <row r="51" customFormat="false" ht="15" hidden="false" customHeight="false" outlineLevel="0" collapsed="false">
      <c r="A51" s="6" t="s">
        <v>192</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31.5" hidden="false" customHeight="true" outlineLevel="0" collapsed="false">
      <c r="A52" s="40" t="s">
        <v>264</v>
      </c>
      <c r="B52" s="40"/>
      <c r="C52" s="40"/>
      <c r="D52" s="40"/>
      <c r="E52" s="40"/>
      <c r="F52" s="40"/>
      <c r="G52" s="40"/>
      <c r="H52" s="40"/>
    </row>
    <row r="53" customFormat="false" ht="31.5" hidden="false" customHeight="true" outlineLevel="0" collapsed="false">
      <c r="A53" s="40" t="s">
        <v>265</v>
      </c>
      <c r="B53" s="40"/>
      <c r="C53" s="40"/>
      <c r="D53" s="40"/>
      <c r="E53" s="40"/>
      <c r="F53" s="40"/>
      <c r="G53" s="40"/>
      <c r="H53" s="40"/>
    </row>
    <row r="54" customFormat="false" ht="15" hidden="false" customHeight="false" outlineLevel="0" collapsed="false">
      <c r="A54" s="6" t="s">
        <v>266</v>
      </c>
      <c r="D54" s="43" t="n">
        <f aca="false">Assumptions!$B$62*Assumptions!$B$63*MAX(0,-MIN(D50,D51))</f>
        <v>2.93507493112948</v>
      </c>
    </row>
    <row r="55" customFormat="false" ht="15" hidden="false" customHeight="false" outlineLevel="0" collapsed="false">
      <c r="A55" s="6" t="s">
        <v>267</v>
      </c>
      <c r="D55" s="43" t="n">
        <f aca="false">Assumptions!$B$62*Assumptions!$B$64*('Unit economics'!$M$8+'Unit economics'!$N$8)</f>
        <v>23.8932</v>
      </c>
    </row>
    <row r="56" customFormat="false" ht="15" hidden="false" customHeight="false" outlineLevel="0" collapsed="false">
      <c r="A56" s="6" t="s">
        <v>268</v>
      </c>
      <c r="D56"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2:H52"/>
    <mergeCell ref="A53:H53"/>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269</v>
      </c>
    </row>
    <row r="2" customFormat="false" ht="15" hidden="false" customHeight="false" outlineLevel="0" collapsed="false">
      <c r="A2" s="44" t="s">
        <v>270</v>
      </c>
    </row>
    <row r="4" customFormat="false" ht="15" hidden="false" customHeight="false" outlineLevel="0" collapsed="false">
      <c r="A4" s="14" t="s">
        <v>271</v>
      </c>
      <c r="B4" s="14"/>
      <c r="C4" s="14"/>
      <c r="D4" s="14"/>
      <c r="E4" s="14"/>
      <c r="F4" s="14"/>
      <c r="G4" s="14"/>
      <c r="H4" s="14"/>
    </row>
    <row r="5" customFormat="false" ht="15" hidden="false" customHeight="false" outlineLevel="0" collapsed="false">
      <c r="A5" s="6" t="s">
        <v>272</v>
      </c>
      <c r="B5" s="31" t="n">
        <v>60</v>
      </c>
    </row>
    <row r="6" customFormat="false" ht="15" hidden="false" customHeight="false" outlineLevel="0" collapsed="false">
      <c r="A6" s="6" t="s">
        <v>273</v>
      </c>
      <c r="B6" s="31" t="n">
        <v>90</v>
      </c>
    </row>
    <row r="7" customFormat="false" ht="15" hidden="false" customHeight="false" outlineLevel="0" collapsed="false">
      <c r="A7" s="6" t="s">
        <v>274</v>
      </c>
      <c r="B7" s="31" t="n">
        <v>120</v>
      </c>
    </row>
    <row r="8" customFormat="false" ht="15" hidden="false" customHeight="false" outlineLevel="0" collapsed="false">
      <c r="A8" s="6" t="s">
        <v>275</v>
      </c>
      <c r="B8" s="31" t="n">
        <v>200</v>
      </c>
    </row>
    <row r="9" customFormat="false" ht="15" hidden="false" customHeight="false" outlineLevel="0" collapsed="false">
      <c r="A9" s="6" t="s">
        <v>276</v>
      </c>
      <c r="B9" s="31" t="n">
        <v>1</v>
      </c>
    </row>
    <row r="10" customFormat="false" ht="15" hidden="false" customHeight="false" outlineLevel="0" collapsed="false">
      <c r="A10" s="6" t="s">
        <v>277</v>
      </c>
      <c r="B10" s="31" t="n">
        <v>0</v>
      </c>
    </row>
    <row r="11" customFormat="false" ht="15" hidden="false" customHeight="false" outlineLevel="0" collapsed="false">
      <c r="A11" s="6" t="s">
        <v>278</v>
      </c>
      <c r="B11" s="33" t="n">
        <v>3</v>
      </c>
    </row>
    <row r="12" customFormat="false" ht="15" hidden="false" customHeight="false" outlineLevel="0" collapsed="false">
      <c r="A12" s="6" t="s">
        <v>279</v>
      </c>
      <c r="B12" s="31" t="n">
        <v>60</v>
      </c>
    </row>
    <row r="13" customFormat="false" ht="15" hidden="false" customHeight="false" outlineLevel="0" collapsed="false">
      <c r="A13" s="6" t="s">
        <v>280</v>
      </c>
      <c r="B13" s="31" t="n">
        <v>125</v>
      </c>
    </row>
    <row r="14" customFormat="false" ht="15" hidden="false" customHeight="false" outlineLevel="0" collapsed="false">
      <c r="A14" s="14" t="s">
        <v>281</v>
      </c>
      <c r="B14" s="14"/>
      <c r="C14" s="14"/>
      <c r="D14" s="14"/>
      <c r="E14" s="14"/>
      <c r="F14" s="14"/>
      <c r="G14" s="14"/>
      <c r="H14" s="14"/>
    </row>
    <row r="15" customFormat="false" ht="45" hidden="false" customHeight="true" outlineLevel="0" collapsed="false">
      <c r="A15" s="20" t="s">
        <v>282</v>
      </c>
      <c r="B15" s="20" t="s">
        <v>283</v>
      </c>
      <c r="C15" s="20" t="s">
        <v>284</v>
      </c>
      <c r="D15" s="20" t="s">
        <v>285</v>
      </c>
      <c r="E15" s="20" t="s">
        <v>286</v>
      </c>
      <c r="F15" s="20" t="s">
        <v>287</v>
      </c>
      <c r="G15" s="20" t="s">
        <v>288</v>
      </c>
      <c r="H15" s="20" t="s">
        <v>289</v>
      </c>
    </row>
    <row r="16" customFormat="false" ht="15" hidden="false" customHeight="false" outlineLevel="0" collapsed="false">
      <c r="A16" s="6" t="s">
        <v>290</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291</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292</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293</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294</v>
      </c>
      <c r="F20" s="18" t="n">
        <f aca="false">SUM(F16:F19)</f>
        <v>1</v>
      </c>
    </row>
    <row r="21" customFormat="false" ht="15" hidden="false" customHeight="false" outlineLevel="0" collapsed="false">
      <c r="A21" s="8" t="s">
        <v>295</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296</v>
      </c>
      <c r="G22" s="45" t="n">
        <f aca="false">Assumptions!$B$58*G21+(1-Assumptions!$B$58)*H21</f>
        <v>2.44980646280992</v>
      </c>
    </row>
    <row r="24" customFormat="false" ht="15" hidden="false" customHeight="false" outlineLevel="0" collapsed="false">
      <c r="A24" s="14" t="s">
        <v>297</v>
      </c>
      <c r="B24" s="14"/>
      <c r="C24" s="14"/>
      <c r="D24" s="14"/>
      <c r="E24" s="14"/>
      <c r="F24" s="14"/>
      <c r="G24" s="14"/>
      <c r="H24" s="14"/>
    </row>
    <row r="25" customFormat="false" ht="15" hidden="false" customHeight="false" outlineLevel="0" collapsed="false">
      <c r="A25" s="6" t="s">
        <v>298</v>
      </c>
      <c r="B25" s="19" t="n">
        <f aca="false">(B7-B5)*30</f>
        <v>1800</v>
      </c>
    </row>
    <row r="26" customFormat="false" ht="15" hidden="false" customHeight="false" outlineLevel="0" collapsed="false">
      <c r="A26" s="6" t="s">
        <v>299</v>
      </c>
      <c r="B26" s="19" t="n">
        <f aca="false">B12*30*(B9-B10)</f>
        <v>1800</v>
      </c>
    </row>
    <row r="27" customFormat="false" ht="15" hidden="false" customHeight="false" outlineLevel="0" collapsed="false">
      <c r="A27" s="6" t="s">
        <v>300</v>
      </c>
      <c r="B27" s="19" t="n">
        <f aca="false">B25+B26</f>
        <v>3600</v>
      </c>
    </row>
    <row r="28" customFormat="false" ht="15" hidden="false" customHeight="false" outlineLevel="0" collapsed="false">
      <c r="A28" s="6" t="s">
        <v>301</v>
      </c>
      <c r="B28" s="37" t="n">
        <f aca="false">B27*MIN(D16:D19)/100</f>
        <v>27.6646153846154</v>
      </c>
    </row>
    <row r="29" customFormat="false" ht="15" hidden="false" customHeight="false" outlineLevel="0" collapsed="false">
      <c r="A29" s="6" t="s">
        <v>302</v>
      </c>
      <c r="B29" s="16" t="n">
        <f aca="false">IF(Assumptions!$B$10=0,0,B28/Assumptions!$B$10)</f>
        <v>5.54401109912132</v>
      </c>
    </row>
    <row r="30" customFormat="false" ht="15" hidden="false" customHeight="false" outlineLevel="0" collapsed="false">
      <c r="A30" s="6" t="s">
        <v>303</v>
      </c>
      <c r="B30" s="23" t="n">
        <v>0.5</v>
      </c>
    </row>
    <row r="31" customFormat="false" ht="15" hidden="false" customHeight="false" outlineLevel="0" collapsed="false">
      <c r="A31" s="6" t="s">
        <v>304</v>
      </c>
      <c r="B31" s="16" t="n">
        <f aca="false">IF(Assumptions!$B$10=0,0,B28/(1+B30)/Assumptions!$B$10)</f>
        <v>3.69600739941421</v>
      </c>
    </row>
    <row r="32" customFormat="false" ht="15" hidden="false" customHeight="false" outlineLevel="0" collapsed="false">
      <c r="A32" s="6" t="s">
        <v>305</v>
      </c>
      <c r="B32" s="46" t="n">
        <v>1.5</v>
      </c>
    </row>
    <row r="33" customFormat="false" ht="15" hidden="false" customHeight="false" outlineLevel="0" collapsed="false">
      <c r="A33" s="6" t="s">
        <v>306</v>
      </c>
      <c r="B33" s="8" t="str">
        <f aca="false">IF(MIN(B29,B31)&gt;=B32,"yes","NO: raise the pack prices or shrink the bonus")</f>
        <v>yes</v>
      </c>
    </row>
    <row r="34" customFormat="false" ht="15" hidden="false" customHeight="false" outlineLevel="0" collapsed="false">
      <c r="A34" s="6" t="s">
        <v>307</v>
      </c>
      <c r="B34" s="19" t="n">
        <f aca="false">B13-B5</f>
        <v>65</v>
      </c>
    </row>
    <row r="36" customFormat="false" ht="31.5" hidden="false" customHeight="true" outlineLevel="0" collapsed="false">
      <c r="A36" s="40" t="s">
        <v>308</v>
      </c>
      <c r="B36" s="40"/>
      <c r="C36" s="40"/>
      <c r="D36" s="40"/>
      <c r="E36" s="40"/>
      <c r="F36" s="40"/>
      <c r="G36" s="40"/>
      <c r="H36" s="40"/>
    </row>
    <row r="37" customFormat="false" ht="31.5" hidden="false" customHeight="true" outlineLevel="0" collapsed="false">
      <c r="A37" s="40" t="s">
        <v>309</v>
      </c>
      <c r="B37" s="40"/>
      <c r="C37" s="40"/>
      <c r="D37" s="40"/>
      <c r="E37" s="40"/>
      <c r="F37" s="40"/>
      <c r="G37" s="40"/>
      <c r="H37" s="40"/>
    </row>
    <row r="38" customFormat="false" ht="31.5" hidden="false" customHeight="true" outlineLevel="0" collapsed="false">
      <c r="A38" s="40" t="s">
        <v>310</v>
      </c>
      <c r="B38" s="40"/>
      <c r="C38" s="40"/>
      <c r="D38" s="40"/>
      <c r="E38" s="40"/>
      <c r="F38" s="40"/>
      <c r="G38" s="40"/>
      <c r="H38" s="40"/>
    </row>
    <row r="39" customFormat="false" ht="31.5" hidden="false" customHeight="true" outlineLevel="0" collapsed="false">
      <c r="A39" s="40" t="s">
        <v>311</v>
      </c>
      <c r="B39" s="40"/>
      <c r="C39" s="40"/>
      <c r="D39" s="40"/>
      <c r="E39" s="40"/>
      <c r="F39" s="40"/>
      <c r="G39" s="40"/>
      <c r="H39" s="40"/>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312</v>
      </c>
    </row>
    <row r="2" customFormat="false" ht="15" hidden="false" customHeight="false" outlineLevel="0" collapsed="false">
      <c r="A2" s="44" t="s">
        <v>313</v>
      </c>
    </row>
    <row r="4" customFormat="false" ht="15" hidden="false" customHeight="false" outlineLevel="0" collapsed="false">
      <c r="A4" s="14" t="s">
        <v>314</v>
      </c>
      <c r="B4" s="14"/>
      <c r="C4" s="14"/>
      <c r="D4" s="14"/>
    </row>
    <row r="5" customFormat="false" ht="15" hidden="false" customHeight="false" outlineLevel="0" collapsed="false">
      <c r="A5" s="6" t="s">
        <v>315</v>
      </c>
      <c r="B5" s="39" t="n">
        <v>0.25</v>
      </c>
      <c r="C5" s="6" t="s">
        <v>316</v>
      </c>
      <c r="D5" s="6" t="s">
        <v>317</v>
      </c>
    </row>
    <row r="6" customFormat="false" ht="15" hidden="false" customHeight="false" outlineLevel="0" collapsed="false">
      <c r="A6" s="6" t="s">
        <v>318</v>
      </c>
      <c r="B6" s="39" t="n">
        <v>1.5</v>
      </c>
      <c r="C6" s="6" t="s">
        <v>316</v>
      </c>
    </row>
    <row r="7" customFormat="false" ht="15" hidden="false" customHeight="false" outlineLevel="0" collapsed="false">
      <c r="A7" s="6" t="s">
        <v>319</v>
      </c>
      <c r="B7" s="25" t="n">
        <v>0.6</v>
      </c>
      <c r="C7" s="6" t="s">
        <v>51</v>
      </c>
    </row>
    <row r="8" customFormat="false" ht="15" hidden="false" customHeight="false" outlineLevel="0" collapsed="false">
      <c r="A8" s="6" t="s">
        <v>320</v>
      </c>
      <c r="B8" s="25" t="n">
        <v>0.1</v>
      </c>
      <c r="C8" s="6" t="s">
        <v>321</v>
      </c>
    </row>
    <row r="9" customFormat="false" ht="15" hidden="false" customHeight="false" outlineLevel="0" collapsed="false">
      <c r="A9" s="6" t="s">
        <v>322</v>
      </c>
      <c r="B9" s="31" t="n">
        <v>30</v>
      </c>
      <c r="C9" s="6" t="s">
        <v>323</v>
      </c>
    </row>
    <row r="10" customFormat="false" ht="15" hidden="false" customHeight="false" outlineLevel="0" collapsed="false">
      <c r="A10" s="6" t="s">
        <v>324</v>
      </c>
      <c r="B10" s="24" t="n">
        <v>0.1</v>
      </c>
      <c r="C10" s="6" t="s">
        <v>325</v>
      </c>
      <c r="D10" s="6" t="s">
        <v>326</v>
      </c>
    </row>
    <row r="12" customFormat="false" ht="45" hidden="false" customHeight="true" outlineLevel="0" collapsed="false">
      <c r="A12" s="20" t="s">
        <v>327</v>
      </c>
      <c r="B12" s="20" t="s">
        <v>328</v>
      </c>
      <c r="C12" s="20" t="s">
        <v>329</v>
      </c>
      <c r="D12" s="20" t="s">
        <v>330</v>
      </c>
      <c r="E12" s="20" t="s">
        <v>331</v>
      </c>
      <c r="F12" s="20" t="s">
        <v>332</v>
      </c>
      <c r="G12" s="20" t="s">
        <v>333</v>
      </c>
      <c r="H12" s="20" t="s">
        <v>334</v>
      </c>
      <c r="I12" s="20" t="s">
        <v>335</v>
      </c>
      <c r="J12" s="20" t="s">
        <v>336</v>
      </c>
      <c r="K12" s="20" t="s">
        <v>337</v>
      </c>
      <c r="L12" s="20" t="s">
        <v>338</v>
      </c>
      <c r="M12" s="20" t="s">
        <v>339</v>
      </c>
      <c r="N12" s="20" t="s">
        <v>340</v>
      </c>
    </row>
    <row r="13" customFormat="false" ht="30" hidden="false" customHeight="true" outlineLevel="0" collapsed="false">
      <c r="A13" s="47" t="s">
        <v>341</v>
      </c>
      <c r="B13" s="48" t="n">
        <v>35</v>
      </c>
      <c r="C13" s="49" t="n">
        <v>1300</v>
      </c>
      <c r="D13" s="49" t="n">
        <v>2000</v>
      </c>
      <c r="E13" s="50" t="n">
        <f aca="false">B13*(C13*$B$5*(1-$B$7+$B$7*$B$8)+D13*$B$6)/1000000</f>
        <v>0.1102325</v>
      </c>
      <c r="F13" s="51" t="s">
        <v>342</v>
      </c>
      <c r="G13" s="52" t="n">
        <v>0</v>
      </c>
      <c r="H13" s="52" t="n">
        <v>2</v>
      </c>
      <c r="I13" s="52" t="n">
        <v>4</v>
      </c>
      <c r="J13" s="53" t="n">
        <f aca="false">IF(F13="day",$B$9,1)</f>
        <v>1</v>
      </c>
      <c r="K13" s="54" t="n">
        <f aca="false">G13*$E13*$J13</f>
        <v>0</v>
      </c>
      <c r="L13" s="54" t="n">
        <f aca="false">H13*$E13*$J13</f>
        <v>0.220465</v>
      </c>
      <c r="M13" s="54" t="n">
        <f aca="false">I13*$E13*$J13</f>
        <v>0.44093</v>
      </c>
      <c r="N13" s="55" t="s">
        <v>343</v>
      </c>
    </row>
    <row r="14" customFormat="false" ht="30" hidden="false" customHeight="true" outlineLevel="0" collapsed="false">
      <c r="A14" s="47" t="s">
        <v>344</v>
      </c>
      <c r="B14" s="48" t="n">
        <v>1.3</v>
      </c>
      <c r="C14" s="49" t="n">
        <v>2700</v>
      </c>
      <c r="D14" s="49" t="n">
        <v>3000</v>
      </c>
      <c r="E14" s="50" t="n">
        <f aca="false">B14*(C14*$B$5*(1-$B$7+$B$7*$B$8)+D14*$B$6)/1000000</f>
        <v>0.00625365</v>
      </c>
      <c r="F14" s="51" t="s">
        <v>345</v>
      </c>
      <c r="G14" s="52" t="n">
        <v>0</v>
      </c>
      <c r="H14" s="52" t="n">
        <v>1</v>
      </c>
      <c r="I14" s="52" t="n">
        <v>2</v>
      </c>
      <c r="J14" s="53" t="n">
        <f aca="false">IF(F14="day",$B$9,1)</f>
        <v>30</v>
      </c>
      <c r="K14" s="54" t="n">
        <f aca="false">G14*$E14*$J14</f>
        <v>0</v>
      </c>
      <c r="L14" s="54" t="n">
        <f aca="false">H14*$E14*$J14</f>
        <v>0.1876095</v>
      </c>
      <c r="M14" s="54" t="n">
        <f aca="false">I14*$E14*$J14</f>
        <v>0.375219</v>
      </c>
      <c r="N14" s="55" t="s">
        <v>346</v>
      </c>
    </row>
    <row r="15" customFormat="false" ht="30" hidden="false" customHeight="true" outlineLevel="0" collapsed="false">
      <c r="A15" s="47" t="s">
        <v>347</v>
      </c>
      <c r="B15" s="48" t="n">
        <v>1</v>
      </c>
      <c r="C15" s="49" t="n">
        <v>900</v>
      </c>
      <c r="D15" s="49" t="n">
        <v>400</v>
      </c>
      <c r="E15" s="50" t="n">
        <f aca="false">B15*(C15*$B$5*(1-$B$7+$B$7*$B$8)+D15*$B$6)/1000000</f>
        <v>0.0007035</v>
      </c>
      <c r="F15" s="51" t="s">
        <v>345</v>
      </c>
      <c r="G15" s="52" t="n">
        <v>3</v>
      </c>
      <c r="H15" s="52" t="n">
        <v>15</v>
      </c>
      <c r="I15" s="52" t="n">
        <v>25</v>
      </c>
      <c r="J15" s="53" t="n">
        <f aca="false">IF(F15="day",$B$9,1)</f>
        <v>30</v>
      </c>
      <c r="K15" s="54" t="n">
        <f aca="false">G15*$E15*$J15</f>
        <v>0.063315</v>
      </c>
      <c r="L15" s="54" t="n">
        <f aca="false">H15*$E15*$J15</f>
        <v>0.316575</v>
      </c>
      <c r="M15" s="54" t="n">
        <f aca="false">I15*$E15*$J15</f>
        <v>0.527625</v>
      </c>
      <c r="N15" s="55" t="s">
        <v>348</v>
      </c>
    </row>
    <row r="16" customFormat="false" ht="30" hidden="false" customHeight="true" outlineLevel="0" collapsed="false">
      <c r="A16" s="47" t="s">
        <v>349</v>
      </c>
      <c r="B16" s="48" t="n">
        <v>1</v>
      </c>
      <c r="C16" s="49" t="n">
        <v>600</v>
      </c>
      <c r="D16" s="49" t="n">
        <v>400</v>
      </c>
      <c r="E16" s="50" t="n">
        <f aca="false">B16*(C16*$B$5*(1-$B$7+$B$7*$B$8)+D16*$B$6)/1000000</f>
        <v>0.000669</v>
      </c>
      <c r="F16" s="51" t="s">
        <v>345</v>
      </c>
      <c r="G16" s="52" t="n">
        <v>3</v>
      </c>
      <c r="H16" s="52" t="n">
        <v>15</v>
      </c>
      <c r="I16" s="52" t="n">
        <v>25</v>
      </c>
      <c r="J16" s="53" t="n">
        <f aca="false">IF(F16="day",$B$9,1)</f>
        <v>30</v>
      </c>
      <c r="K16" s="54" t="n">
        <f aca="false">G16*$E16*$J16</f>
        <v>0.06021</v>
      </c>
      <c r="L16" s="54" t="n">
        <f aca="false">H16*$E16*$J16</f>
        <v>0.30105</v>
      </c>
      <c r="M16" s="54" t="n">
        <f aca="false">I16*$E16*$J16</f>
        <v>0.50175</v>
      </c>
      <c r="N16" s="55" t="s">
        <v>350</v>
      </c>
    </row>
    <row r="17" customFormat="false" ht="30" hidden="false" customHeight="true" outlineLevel="0" collapsed="false">
      <c r="A17" s="47" t="s">
        <v>351</v>
      </c>
      <c r="B17" s="48" t="n">
        <v>1</v>
      </c>
      <c r="C17" s="49" t="n">
        <v>1700</v>
      </c>
      <c r="D17" s="49" t="n">
        <v>450</v>
      </c>
      <c r="E17" s="50" t="n">
        <f aca="false">B17*(C17*$B$5*(1-$B$7+$B$7*$B$8)+D17*$B$6)/1000000</f>
        <v>0.0008705</v>
      </c>
      <c r="F17" s="51" t="s">
        <v>345</v>
      </c>
      <c r="G17" s="52" t="n">
        <v>6</v>
      </c>
      <c r="H17" s="52" t="n">
        <v>18</v>
      </c>
      <c r="I17" s="52" t="n">
        <v>30</v>
      </c>
      <c r="J17" s="53" t="n">
        <f aca="false">IF(F17="day",$B$9,1)</f>
        <v>30</v>
      </c>
      <c r="K17" s="54" t="n">
        <f aca="false">G17*$E17*$J17</f>
        <v>0.15669</v>
      </c>
      <c r="L17" s="54" t="n">
        <f aca="false">H17*$E17*$J17</f>
        <v>0.47007</v>
      </c>
      <c r="M17" s="54" t="n">
        <f aca="false">I17*$E17*$J17</f>
        <v>0.78345</v>
      </c>
      <c r="N17" s="55" t="s">
        <v>352</v>
      </c>
    </row>
    <row r="18" customFormat="false" ht="30" hidden="false" customHeight="true" outlineLevel="0" collapsed="false">
      <c r="A18" s="47" t="s">
        <v>353</v>
      </c>
      <c r="B18" s="48" t="n">
        <v>1</v>
      </c>
      <c r="C18" s="49" t="n">
        <v>1100</v>
      </c>
      <c r="D18" s="49" t="n">
        <v>400</v>
      </c>
      <c r="E18" s="50" t="n">
        <f aca="false">B18*(C18*$B$5*(1-$B$7+$B$7*$B$8)+D18*$B$6)/1000000</f>
        <v>0.0007265</v>
      </c>
      <c r="F18" s="51" t="s">
        <v>345</v>
      </c>
      <c r="G18" s="52" t="n">
        <v>2</v>
      </c>
      <c r="H18" s="52" t="n">
        <v>8</v>
      </c>
      <c r="I18" s="52" t="n">
        <v>15</v>
      </c>
      <c r="J18" s="53" t="n">
        <f aca="false">IF(F18="day",$B$9,1)</f>
        <v>30</v>
      </c>
      <c r="K18" s="54" t="n">
        <f aca="false">G18*$E18*$J18</f>
        <v>0.04359</v>
      </c>
      <c r="L18" s="54" t="n">
        <f aca="false">H18*$E18*$J18</f>
        <v>0.17436</v>
      </c>
      <c r="M18" s="54" t="n">
        <f aca="false">I18*$E18*$J18</f>
        <v>0.326925</v>
      </c>
      <c r="N18" s="55" t="s">
        <v>354</v>
      </c>
    </row>
    <row r="19" customFormat="false" ht="30" hidden="false" customHeight="true" outlineLevel="0" collapsed="false">
      <c r="A19" s="47" t="s">
        <v>355</v>
      </c>
      <c r="B19" s="48" t="n">
        <v>1</v>
      </c>
      <c r="C19" s="49" t="n">
        <v>1400</v>
      </c>
      <c r="D19" s="49" t="n">
        <v>120</v>
      </c>
      <c r="E19" s="50" t="n">
        <f aca="false">B19*(C19*$B$5*(1-$B$7+$B$7*$B$8)+D19*$B$6)/1000000</f>
        <v>0.000341</v>
      </c>
      <c r="F19" s="51" t="s">
        <v>345</v>
      </c>
      <c r="G19" s="52" t="n">
        <v>5</v>
      </c>
      <c r="H19" s="52" t="n">
        <v>20</v>
      </c>
      <c r="I19" s="52" t="n">
        <v>40</v>
      </c>
      <c r="J19" s="53" t="n">
        <f aca="false">IF(F19="day",$B$9,1)</f>
        <v>30</v>
      </c>
      <c r="K19" s="54" t="n">
        <f aca="false">G19*$E19*$J19</f>
        <v>0.05115</v>
      </c>
      <c r="L19" s="54" t="n">
        <f aca="false">H19*$E19*$J19</f>
        <v>0.2046</v>
      </c>
      <c r="M19" s="54" t="n">
        <f aca="false">I19*$E19*$J19</f>
        <v>0.4092</v>
      </c>
      <c r="N19" s="55" t="s">
        <v>356</v>
      </c>
    </row>
    <row r="20" customFormat="false" ht="30" hidden="false" customHeight="true" outlineLevel="0" collapsed="false">
      <c r="A20" s="47" t="s">
        <v>357</v>
      </c>
      <c r="B20" s="48" t="n">
        <v>1</v>
      </c>
      <c r="C20" s="49" t="n">
        <v>400</v>
      </c>
      <c r="D20" s="49" t="n">
        <v>500</v>
      </c>
      <c r="E20" s="50" t="n">
        <f aca="false">B20*(C20*$B$5*(1-$B$7+$B$7*$B$8)+D20*$B$6)/1000000</f>
        <v>0.000796</v>
      </c>
      <c r="F20" s="51" t="s">
        <v>345</v>
      </c>
      <c r="G20" s="52" t="n">
        <v>5</v>
      </c>
      <c r="H20" s="52" t="n">
        <v>15</v>
      </c>
      <c r="I20" s="52" t="n">
        <v>30</v>
      </c>
      <c r="J20" s="53" t="n">
        <f aca="false">IF(F20="day",$B$9,1)</f>
        <v>30</v>
      </c>
      <c r="K20" s="54" t="n">
        <f aca="false">G20*$E20*$J20</f>
        <v>0.1194</v>
      </c>
      <c r="L20" s="54" t="n">
        <f aca="false">H20*$E20*$J20</f>
        <v>0.3582</v>
      </c>
      <c r="M20" s="54" t="n">
        <f aca="false">I20*$E20*$J20</f>
        <v>0.7164</v>
      </c>
      <c r="N20" s="55" t="s">
        <v>358</v>
      </c>
    </row>
    <row r="21" customFormat="false" ht="30" hidden="false" customHeight="true" outlineLevel="0" collapsed="false">
      <c r="A21" s="47" t="s">
        <v>359</v>
      </c>
      <c r="B21" s="48" t="n">
        <v>1</v>
      </c>
      <c r="C21" s="49" t="n">
        <v>1400</v>
      </c>
      <c r="D21" s="49" t="n">
        <v>400</v>
      </c>
      <c r="E21" s="50" t="n">
        <f aca="false">B21*(C21*$B$5*(1-$B$7+$B$7*$B$8)+D21*$B$6)/1000000</f>
        <v>0.000761</v>
      </c>
      <c r="F21" s="51" t="s">
        <v>345</v>
      </c>
      <c r="G21" s="52" t="n">
        <v>1</v>
      </c>
      <c r="H21" s="52" t="n">
        <v>5</v>
      </c>
      <c r="I21" s="52" t="n">
        <v>15</v>
      </c>
      <c r="J21" s="53" t="n">
        <f aca="false">IF(F21="day",$B$9,1)</f>
        <v>30</v>
      </c>
      <c r="K21" s="54" t="n">
        <f aca="false">G21*$E21*$J21</f>
        <v>0.02283</v>
      </c>
      <c r="L21" s="54" t="n">
        <f aca="false">H21*$E21*$J21</f>
        <v>0.11415</v>
      </c>
      <c r="M21" s="54" t="n">
        <f aca="false">I21*$E21*$J21</f>
        <v>0.34245</v>
      </c>
      <c r="N21" s="55" t="s">
        <v>360</v>
      </c>
    </row>
    <row r="22" customFormat="false" ht="30" hidden="false" customHeight="true" outlineLevel="0" collapsed="false">
      <c r="A22" s="47" t="s">
        <v>361</v>
      </c>
      <c r="B22" s="48" t="n">
        <v>1</v>
      </c>
      <c r="C22" s="49" t="n">
        <v>900</v>
      </c>
      <c r="D22" s="49" t="n">
        <v>700</v>
      </c>
      <c r="E22" s="50" t="n">
        <f aca="false">B22*(C22*$B$5*(1-$B$7+$B$7*$B$8)+D22*$B$6)/1000000</f>
        <v>0.0011535</v>
      </c>
      <c r="F22" s="51" t="s">
        <v>345</v>
      </c>
      <c r="G22" s="52" t="n">
        <v>2</v>
      </c>
      <c r="H22" s="52" t="n">
        <v>8</v>
      </c>
      <c r="I22" s="52" t="n">
        <v>20</v>
      </c>
      <c r="J22" s="53" t="n">
        <f aca="false">IF(F22="day",$B$9,1)</f>
        <v>30</v>
      </c>
      <c r="K22" s="54" t="n">
        <f aca="false">G22*$E22*$J22</f>
        <v>0.06921</v>
      </c>
      <c r="L22" s="54" t="n">
        <f aca="false">H22*$E22*$J22</f>
        <v>0.27684</v>
      </c>
      <c r="M22" s="54" t="n">
        <f aca="false">I22*$E22*$J22</f>
        <v>0.6921</v>
      </c>
      <c r="N22" s="55" t="s">
        <v>362</v>
      </c>
    </row>
    <row r="23" customFormat="false" ht="30" hidden="false" customHeight="true" outlineLevel="0" collapsed="false">
      <c r="A23" s="47" t="s">
        <v>363</v>
      </c>
      <c r="B23" s="48" t="n">
        <v>1</v>
      </c>
      <c r="C23" s="49" t="n">
        <v>1400</v>
      </c>
      <c r="D23" s="49" t="n">
        <v>900</v>
      </c>
      <c r="E23" s="50" t="n">
        <f aca="false">B23*(C23*$B$5*(1-$B$7+$B$7*$B$8)+D23*$B$6)/1000000</f>
        <v>0.001511</v>
      </c>
      <c r="F23" s="51" t="s">
        <v>345</v>
      </c>
      <c r="G23" s="52" t="n">
        <v>0</v>
      </c>
      <c r="H23" s="52" t="n">
        <v>2</v>
      </c>
      <c r="I23" s="52" t="n">
        <v>5</v>
      </c>
      <c r="J23" s="53" t="n">
        <f aca="false">IF(F23="day",$B$9,1)</f>
        <v>30</v>
      </c>
      <c r="K23" s="54" t="n">
        <f aca="false">G23*$E23*$J23</f>
        <v>0</v>
      </c>
      <c r="L23" s="54" t="n">
        <f aca="false">H23*$E23*$J23</f>
        <v>0.09066</v>
      </c>
      <c r="M23" s="54" t="n">
        <f aca="false">I23*$E23*$J23</f>
        <v>0.22665</v>
      </c>
      <c r="N23" s="55" t="s">
        <v>364</v>
      </c>
    </row>
    <row r="24" customFormat="false" ht="15" hidden="false" customHeight="false" outlineLevel="0" collapsed="false">
      <c r="A24" s="8" t="s">
        <v>365</v>
      </c>
      <c r="K24" s="56" t="n">
        <f aca="false">SUM(K13:K23)</f>
        <v>0.586395</v>
      </c>
      <c r="L24" s="56" t="n">
        <f aca="false">SUM(L13:L23)</f>
        <v>2.7145795</v>
      </c>
      <c r="M24" s="56" t="n">
        <f aca="false">SUM(M13:M23)</f>
        <v>5.342699</v>
      </c>
    </row>
    <row r="25" customFormat="false" ht="30" hidden="false" customHeight="true" outlineLevel="0" collapsed="false">
      <c r="A25" s="8" t="s">
        <v>366</v>
      </c>
      <c r="G25" s="57" t="n">
        <v>0.01</v>
      </c>
      <c r="H25" s="57" t="n">
        <v>0.08</v>
      </c>
      <c r="I25" s="57" t="n">
        <v>0.1</v>
      </c>
      <c r="K25" s="58" t="n">
        <f aca="false">G25*$B$9</f>
        <v>0.3</v>
      </c>
      <c r="L25" s="58" t="n">
        <f aca="false">H25*$B$9</f>
        <v>2.4</v>
      </c>
      <c r="M25" s="58" t="n">
        <f aca="false">I25*$B$9</f>
        <v>3</v>
      </c>
      <c r="N25" s="22" t="s">
        <v>367</v>
      </c>
    </row>
    <row r="26" customFormat="false" ht="15" hidden="false" customHeight="false" outlineLevel="0" collapsed="false">
      <c r="A26" s="8" t="s">
        <v>368</v>
      </c>
      <c r="K26" s="59" t="n">
        <f aca="false">MIN(K24,K25)</f>
        <v>0.3</v>
      </c>
      <c r="L26" s="59" t="n">
        <f aca="false">MIN(L24,L25)</f>
        <v>2.4</v>
      </c>
      <c r="M26" s="59" t="n">
        <f aca="false">MIN(M24,M25)</f>
        <v>3</v>
      </c>
    </row>
    <row r="27" customFormat="false" ht="15" hidden="false" customHeight="false" outlineLevel="0" collapsed="false">
      <c r="A27" s="6" t="s">
        <v>369</v>
      </c>
      <c r="K27" s="37" t="n">
        <f aca="false">K26*Assumptions!$B$6*(1+Assumptions!$B$8)</f>
        <v>0.31218</v>
      </c>
      <c r="L27" s="37" t="n">
        <f aca="false">L26*Assumptions!$B$6*(1+Assumptions!$B$8)</f>
        <v>2.49744</v>
      </c>
      <c r="M27" s="37" t="n">
        <f aca="false">M26*Assumptions!$B$6*(1+Assumptions!$B$8)</f>
        <v>3.1218</v>
      </c>
    </row>
    <row r="28" customFormat="false" ht="15" hidden="false" customHeight="false" outlineLevel="0" collapsed="false">
      <c r="A28" s="6" t="s">
        <v>370</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371</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372</v>
      </c>
      <c r="B31" s="14"/>
      <c r="C31" s="14"/>
      <c r="D31" s="14"/>
      <c r="E31" s="14"/>
      <c r="F31" s="14"/>
      <c r="G31" s="14"/>
    </row>
    <row r="32" customFormat="false" ht="30" hidden="false" customHeight="true" outlineLevel="0" collapsed="false">
      <c r="A32" s="20" t="s">
        <v>228</v>
      </c>
      <c r="B32" s="20" t="s">
        <v>373</v>
      </c>
      <c r="C32" s="20" t="s">
        <v>374</v>
      </c>
      <c r="D32" s="20" t="s">
        <v>375</v>
      </c>
      <c r="E32" s="20" t="s">
        <v>376</v>
      </c>
      <c r="F32" s="20" t="s">
        <v>377</v>
      </c>
      <c r="G32" s="20" t="s">
        <v>378</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2.4</v>
      </c>
      <c r="E33" s="58" t="n">
        <f aca="false">MIN(SUMPRODUCT(ROUNDDOWN($I$13:$I$23*C33,0),$E$13:$E$23,$J$13:$J$23),$I$25*C33*$B$9)</f>
        <v>3</v>
      </c>
      <c r="F33" s="37" t="n">
        <f aca="false">D33*Assumptions!$B$6*(1+Assumptions!$B$8)</f>
        <v>2.49744</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1.7710025</v>
      </c>
      <c r="E34" s="58" t="n">
        <f aca="false">MIN(SUMPRODUCT(ROUNDDOWN($I$13:$I$23*C34,0),$E$13:$E$23,$J$13:$J$23),$I$25*C34*$B$9)</f>
        <v>2.25</v>
      </c>
      <c r="F34" s="37" t="n">
        <f aca="false">D34*Assumptions!$B$6*(1+Assumptions!$B$8)</f>
        <v>1.8429052015</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1.2948275</v>
      </c>
      <c r="E35" s="58" t="n">
        <f aca="false">MIN(SUMPRODUCT(ROUNDDOWN($I$13:$I$23*C35,0),$E$13:$E$23,$J$13:$J$23),$I$25*C35*$B$9)</f>
        <v>1.65</v>
      </c>
      <c r="F35" s="37" t="n">
        <f aca="false">D35*Assumptions!$B$6*(1+Assumptions!$B$8)</f>
        <v>1.3473974965</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379</v>
      </c>
      <c r="B38" s="40"/>
      <c r="C38" s="40"/>
      <c r="D38" s="40"/>
      <c r="E38" s="40"/>
      <c r="F38" s="40"/>
      <c r="G38" s="40"/>
      <c r="H38" s="40"/>
      <c r="I38" s="40"/>
      <c r="J38" s="40"/>
      <c r="K38" s="40"/>
      <c r="L38" s="40"/>
      <c r="M38" s="40"/>
      <c r="N38" s="40"/>
    </row>
    <row r="39" customFormat="false" ht="15" hidden="false" customHeight="true" outlineLevel="0" collapsed="false">
      <c r="A39" s="40" t="s">
        <v>380</v>
      </c>
      <c r="B39" s="40"/>
      <c r="C39" s="40"/>
      <c r="D39" s="40"/>
      <c r="E39" s="40"/>
      <c r="F39" s="40"/>
      <c r="G39" s="40"/>
      <c r="H39" s="40"/>
      <c r="I39" s="40"/>
      <c r="J39" s="40"/>
      <c r="K39" s="40"/>
      <c r="L39" s="40"/>
      <c r="M39" s="40"/>
      <c r="N39" s="40"/>
    </row>
    <row r="40" customFormat="false" ht="31.5" hidden="false" customHeight="true" outlineLevel="0" collapsed="false">
      <c r="A40" s="40" t="s">
        <v>381</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382</v>
      </c>
    </row>
    <row r="2" customFormat="false" ht="15" hidden="false" customHeight="true" outlineLevel="0" collapsed="false">
      <c r="A2" s="3" t="s">
        <v>383</v>
      </c>
    </row>
    <row r="4" customFormat="false" ht="15" hidden="false" customHeight="true" outlineLevel="0" collapsed="false">
      <c r="A4" s="20" t="s">
        <v>384</v>
      </c>
      <c r="B4" s="20" t="s">
        <v>385</v>
      </c>
      <c r="C4" s="20" t="s">
        <v>386</v>
      </c>
      <c r="D4" s="20" t="s">
        <v>387</v>
      </c>
      <c r="E4" s="20" t="s">
        <v>388</v>
      </c>
      <c r="F4" s="20" t="s">
        <v>389</v>
      </c>
      <c r="G4" s="20" t="s">
        <v>390</v>
      </c>
      <c r="H4" s="20" t="s">
        <v>391</v>
      </c>
      <c r="I4" s="20" t="s">
        <v>392</v>
      </c>
      <c r="J4" s="20" t="s">
        <v>393</v>
      </c>
      <c r="K4" s="20" t="s">
        <v>394</v>
      </c>
    </row>
    <row r="5" customFormat="false" ht="26.25" hidden="false" customHeight="true" outlineLevel="0" collapsed="false">
      <c r="A5" s="6" t="s">
        <v>395</v>
      </c>
      <c r="B5" s="6" t="s">
        <v>396</v>
      </c>
      <c r="C5" s="62" t="s">
        <v>95</v>
      </c>
      <c r="D5" s="63" t="s">
        <v>397</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398</v>
      </c>
    </row>
    <row r="6" customFormat="false" ht="26.25" hidden="false" customHeight="true" outlineLevel="0" collapsed="false">
      <c r="A6" s="6" t="s">
        <v>399</v>
      </c>
      <c r="B6" s="6" t="s">
        <v>396</v>
      </c>
      <c r="C6" s="62" t="s">
        <v>95</v>
      </c>
      <c r="D6" s="63" t="s">
        <v>397</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400</v>
      </c>
    </row>
    <row r="7" customFormat="false" ht="26.25" hidden="false" customHeight="true" outlineLevel="0" collapsed="false">
      <c r="A7" s="6" t="s">
        <v>401</v>
      </c>
      <c r="B7" s="6" t="s">
        <v>396</v>
      </c>
      <c r="C7" s="62" t="s">
        <v>95</v>
      </c>
      <c r="D7" s="63" t="s">
        <v>397</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402</v>
      </c>
    </row>
    <row r="8" customFormat="false" ht="15" hidden="false" customHeight="true" outlineLevel="0" collapsed="false">
      <c r="A8" s="6" t="s">
        <v>403</v>
      </c>
      <c r="B8" s="6" t="s">
        <v>396</v>
      </c>
      <c r="C8" s="62" t="s">
        <v>95</v>
      </c>
      <c r="D8" s="63" t="s">
        <v>397</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404</v>
      </c>
    </row>
    <row r="9" customFormat="false" ht="15" hidden="false" customHeight="true" outlineLevel="0" collapsed="false">
      <c r="A9" s="6" t="s">
        <v>405</v>
      </c>
      <c r="B9" s="6" t="s">
        <v>396</v>
      </c>
      <c r="C9" s="62" t="s">
        <v>406</v>
      </c>
      <c r="D9" s="63" t="s">
        <v>397</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407</v>
      </c>
    </row>
    <row r="10" customFormat="false" ht="15" hidden="false" customHeight="true" outlineLevel="0" collapsed="false">
      <c r="A10" s="6" t="s">
        <v>408</v>
      </c>
      <c r="B10" s="6" t="s">
        <v>396</v>
      </c>
      <c r="C10" s="62" t="s">
        <v>95</v>
      </c>
      <c r="D10" s="63" t="s">
        <v>397</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409</v>
      </c>
    </row>
    <row r="11" customFormat="false" ht="15" hidden="false" customHeight="true" outlineLevel="0" collapsed="false">
      <c r="A11" s="6" t="s">
        <v>410</v>
      </c>
      <c r="B11" s="6" t="s">
        <v>396</v>
      </c>
      <c r="C11" s="62" t="s">
        <v>406</v>
      </c>
      <c r="D11" s="63" t="s">
        <v>397</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411</v>
      </c>
    </row>
    <row r="12" customFormat="false" ht="15" hidden="false" customHeight="true" outlineLevel="0" collapsed="false">
      <c r="A12" s="6" t="s">
        <v>412</v>
      </c>
      <c r="B12" s="6" t="s">
        <v>396</v>
      </c>
      <c r="C12" s="62" t="s">
        <v>406</v>
      </c>
      <c r="D12" s="63" t="s">
        <v>397</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413</v>
      </c>
    </row>
    <row r="13" customFormat="false" ht="15" hidden="false" customHeight="true" outlineLevel="0" collapsed="false">
      <c r="A13" s="6" t="s">
        <v>414</v>
      </c>
      <c r="B13" s="6" t="s">
        <v>396</v>
      </c>
      <c r="C13" s="62" t="s">
        <v>95</v>
      </c>
      <c r="D13" s="63" t="s">
        <v>397</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415</v>
      </c>
    </row>
    <row r="14" customFormat="false" ht="15" hidden="false" customHeight="true" outlineLevel="0" collapsed="false">
      <c r="A14" s="6" t="s">
        <v>416</v>
      </c>
      <c r="B14" s="6" t="s">
        <v>396</v>
      </c>
      <c r="C14" s="62" t="s">
        <v>95</v>
      </c>
      <c r="D14" s="63" t="s">
        <v>397</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417</v>
      </c>
    </row>
    <row r="15" customFormat="false" ht="15" hidden="false" customHeight="true" outlineLevel="0" collapsed="false">
      <c r="A15" s="6" t="s">
        <v>418</v>
      </c>
      <c r="B15" s="6" t="s">
        <v>419</v>
      </c>
      <c r="C15" s="62" t="s">
        <v>95</v>
      </c>
      <c r="D15" s="63" t="s">
        <v>420</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421</v>
      </c>
    </row>
    <row r="16" customFormat="false" ht="15" hidden="false" customHeight="true" outlineLevel="0" collapsed="false">
      <c r="A16" s="6" t="s">
        <v>422</v>
      </c>
      <c r="B16" s="6" t="s">
        <v>419</v>
      </c>
      <c r="C16" s="62" t="s">
        <v>406</v>
      </c>
      <c r="D16" s="63" t="s">
        <v>397</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423</v>
      </c>
    </row>
    <row r="17" customFormat="false" ht="15" hidden="false" customHeight="true" outlineLevel="0" collapsed="false">
      <c r="A17" s="6" t="s">
        <v>424</v>
      </c>
      <c r="B17" s="6" t="s">
        <v>419</v>
      </c>
      <c r="C17" s="62" t="s">
        <v>406</v>
      </c>
      <c r="D17" s="63" t="s">
        <v>397</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425</v>
      </c>
      <c r="B18" s="6" t="s">
        <v>419</v>
      </c>
      <c r="C18" s="62" t="s">
        <v>95</v>
      </c>
      <c r="D18" s="63" t="s">
        <v>420</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426</v>
      </c>
    </row>
    <row r="19" customFormat="false" ht="15" hidden="false" customHeight="true" outlineLevel="0" collapsed="false">
      <c r="A19" s="6" t="s">
        <v>427</v>
      </c>
      <c r="B19" s="6" t="s">
        <v>419</v>
      </c>
      <c r="C19" s="62" t="s">
        <v>95</v>
      </c>
      <c r="D19" s="63" t="s">
        <v>397</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428</v>
      </c>
    </row>
    <row r="20" customFormat="false" ht="26.25" hidden="false" customHeight="true" outlineLevel="0" collapsed="false">
      <c r="A20" s="6" t="s">
        <v>429</v>
      </c>
      <c r="B20" s="6" t="s">
        <v>419</v>
      </c>
      <c r="C20" s="62" t="s">
        <v>95</v>
      </c>
      <c r="D20" s="63" t="s">
        <v>397</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430</v>
      </c>
    </row>
    <row r="21" customFormat="false" ht="15" hidden="false" customHeight="true" outlineLevel="0" collapsed="false">
      <c r="A21" s="6" t="s">
        <v>431</v>
      </c>
      <c r="B21" s="6" t="s">
        <v>432</v>
      </c>
      <c r="C21" s="62" t="s">
        <v>406</v>
      </c>
      <c r="D21" s="63" t="s">
        <v>397</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433</v>
      </c>
    </row>
    <row r="23" customFormat="false" ht="15" hidden="false" customHeight="true" outlineLevel="0" collapsed="false">
      <c r="A23" s="8" t="s">
        <v>434</v>
      </c>
      <c r="H23" s="65" t="n">
        <f aca="false">SUMIFS(H5:H21,$C$5:$C$21,"Y")</f>
        <v>418.921</v>
      </c>
      <c r="I23" s="65" t="n">
        <f aca="false">SUMIFS(I5:I21,$C$5:$C$21,"Y")</f>
        <v>979.327</v>
      </c>
      <c r="J23" s="65" t="n">
        <f aca="false">SUMIFS(J5:J21,$C$5:$C$21,"Y")</f>
        <v>2250.139</v>
      </c>
    </row>
    <row r="24" customFormat="false" ht="15" hidden="false" customHeight="true" outlineLevel="0" collapsed="false">
      <c r="A24" s="8" t="s">
        <v>435</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436</v>
      </c>
    </row>
    <row r="2" customFormat="false" ht="15" hidden="false" customHeight="true" outlineLevel="0" collapsed="false">
      <c r="A2" s="3" t="s">
        <v>437</v>
      </c>
    </row>
    <row r="4" customFormat="false" ht="15" hidden="false" customHeight="true" outlineLevel="0" collapsed="false">
      <c r="A4" s="20" t="s">
        <v>384</v>
      </c>
      <c r="B4" s="20" t="s">
        <v>385</v>
      </c>
      <c r="C4" s="20" t="s">
        <v>386</v>
      </c>
      <c r="D4" s="20" t="s">
        <v>387</v>
      </c>
      <c r="E4" s="20" t="s">
        <v>438</v>
      </c>
      <c r="F4" s="20" t="s">
        <v>439</v>
      </c>
      <c r="G4" s="20" t="s">
        <v>440</v>
      </c>
      <c r="H4" s="20" t="s">
        <v>441</v>
      </c>
      <c r="I4" s="20" t="s">
        <v>442</v>
      </c>
      <c r="J4" s="20" t="s">
        <v>443</v>
      </c>
      <c r="K4" s="20" t="s">
        <v>444</v>
      </c>
      <c r="L4" s="20" t="s">
        <v>394</v>
      </c>
    </row>
    <row r="5" customFormat="false" ht="15" hidden="false" customHeight="true" outlineLevel="0" collapsed="false">
      <c r="A5" s="6" t="s">
        <v>445</v>
      </c>
      <c r="B5" s="6" t="s">
        <v>446</v>
      </c>
      <c r="C5" s="62" t="s">
        <v>95</v>
      </c>
      <c r="D5" s="63" t="s">
        <v>420</v>
      </c>
      <c r="E5" s="63" t="s">
        <v>342</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447</v>
      </c>
    </row>
    <row r="6" customFormat="false" ht="15" hidden="false" customHeight="true" outlineLevel="0" collapsed="false">
      <c r="A6" s="6" t="s">
        <v>448</v>
      </c>
      <c r="B6" s="6" t="s">
        <v>446</v>
      </c>
      <c r="C6" s="62" t="s">
        <v>95</v>
      </c>
      <c r="D6" s="63" t="s">
        <v>420</v>
      </c>
      <c r="E6" s="63" t="s">
        <v>342</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449</v>
      </c>
    </row>
    <row r="7" customFormat="false" ht="15" hidden="false" customHeight="true" outlineLevel="0" collapsed="false">
      <c r="A7" s="6" t="s">
        <v>450</v>
      </c>
      <c r="B7" s="6" t="s">
        <v>446</v>
      </c>
      <c r="C7" s="62" t="s">
        <v>95</v>
      </c>
      <c r="D7" s="63" t="s">
        <v>420</v>
      </c>
      <c r="E7" s="63" t="s">
        <v>342</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451</v>
      </c>
    </row>
    <row r="8" customFormat="false" ht="15" hidden="false" customHeight="true" outlineLevel="0" collapsed="false">
      <c r="A8" s="6" t="s">
        <v>452</v>
      </c>
      <c r="B8" s="6" t="s">
        <v>446</v>
      </c>
      <c r="C8" s="62" t="s">
        <v>95</v>
      </c>
      <c r="D8" s="63" t="s">
        <v>420</v>
      </c>
      <c r="E8" s="63" t="s">
        <v>342</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453</v>
      </c>
    </row>
    <row r="9" customFormat="false" ht="15" hidden="false" customHeight="true" outlineLevel="0" collapsed="false">
      <c r="A9" s="6" t="s">
        <v>454</v>
      </c>
      <c r="B9" s="6" t="s">
        <v>446</v>
      </c>
      <c r="C9" s="62" t="s">
        <v>95</v>
      </c>
      <c r="D9" s="63" t="s">
        <v>420</v>
      </c>
      <c r="E9" s="63" t="s">
        <v>342</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455</v>
      </c>
    </row>
    <row r="10" customFormat="false" ht="26.25" hidden="false" customHeight="true" outlineLevel="0" collapsed="false">
      <c r="A10" s="6" t="s">
        <v>456</v>
      </c>
      <c r="B10" s="6" t="s">
        <v>446</v>
      </c>
      <c r="C10" s="62" t="s">
        <v>95</v>
      </c>
      <c r="D10" s="63" t="s">
        <v>420</v>
      </c>
      <c r="E10" s="63" t="s">
        <v>342</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457</v>
      </c>
    </row>
    <row r="11" customFormat="false" ht="15" hidden="false" customHeight="true" outlineLevel="0" collapsed="false">
      <c r="A11" s="6" t="s">
        <v>458</v>
      </c>
      <c r="B11" s="6" t="s">
        <v>446</v>
      </c>
      <c r="C11" s="62" t="s">
        <v>95</v>
      </c>
      <c r="D11" s="63" t="s">
        <v>420</v>
      </c>
      <c r="E11" s="63" t="s">
        <v>342</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459</v>
      </c>
    </row>
    <row r="12" customFormat="false" ht="15" hidden="false" customHeight="true" outlineLevel="0" collapsed="false">
      <c r="A12" s="6" t="s">
        <v>460</v>
      </c>
      <c r="B12" s="6" t="s">
        <v>446</v>
      </c>
      <c r="C12" s="62" t="s">
        <v>95</v>
      </c>
      <c r="D12" s="63" t="s">
        <v>420</v>
      </c>
      <c r="E12" s="63" t="s">
        <v>342</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461</v>
      </c>
    </row>
    <row r="13" customFormat="false" ht="15" hidden="false" customHeight="true" outlineLevel="0" collapsed="false">
      <c r="A13" s="6" t="s">
        <v>462</v>
      </c>
      <c r="B13" s="6" t="s">
        <v>463</v>
      </c>
      <c r="C13" s="62" t="s">
        <v>95</v>
      </c>
      <c r="D13" s="63" t="s">
        <v>420</v>
      </c>
      <c r="E13" s="63" t="s">
        <v>342</v>
      </c>
      <c r="F13" s="64" t="n">
        <v>2</v>
      </c>
      <c r="G13" s="64" t="n">
        <v>5</v>
      </c>
      <c r="H13" s="64" t="n">
        <v>10</v>
      </c>
      <c r="I13" s="37" t="n">
        <f aca="false">F13*IF($D13="USD",Assumptions!$B$6*(1+Assumptions!$B$8),1)/IF($E13="year",12,1)</f>
        <v>2.0812</v>
      </c>
      <c r="J13" s="37" t="n">
        <f aca="false">G13*IF($D13="USD",Assumptions!$B$6*(1+Assumptions!$B$8),1)/IF($E13="year",12,1)</f>
        <v>5.203</v>
      </c>
      <c r="K13" s="37" t="n">
        <f aca="false">H13*IF($D13="USD",Assumptions!$B$6*(1+Assumptions!$B$8),1)/IF($E13="year",12,1)</f>
        <v>10.406</v>
      </c>
      <c r="L13" s="22" t="s">
        <v>464</v>
      </c>
    </row>
    <row r="14" customFormat="false" ht="26.25" hidden="false" customHeight="true" outlineLevel="0" collapsed="false">
      <c r="A14" s="6" t="s">
        <v>465</v>
      </c>
      <c r="B14" s="6" t="s">
        <v>463</v>
      </c>
      <c r="C14" s="62" t="s">
        <v>406</v>
      </c>
      <c r="D14" s="63" t="s">
        <v>420</v>
      </c>
      <c r="E14" s="63" t="s">
        <v>342</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466</v>
      </c>
    </row>
    <row r="15" customFormat="false" ht="15" hidden="false" customHeight="true" outlineLevel="0" collapsed="false">
      <c r="A15" s="6" t="s">
        <v>467</v>
      </c>
      <c r="B15" s="6" t="s">
        <v>468</v>
      </c>
      <c r="C15" s="62" t="s">
        <v>95</v>
      </c>
      <c r="D15" s="63" t="s">
        <v>420</v>
      </c>
      <c r="E15" s="63" t="s">
        <v>469</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470</v>
      </c>
    </row>
    <row r="16" customFormat="false" ht="15" hidden="false" customHeight="true" outlineLevel="0" collapsed="false">
      <c r="A16" s="6" t="s">
        <v>471</v>
      </c>
      <c r="B16" s="6" t="s">
        <v>468</v>
      </c>
      <c r="C16" s="62" t="s">
        <v>95</v>
      </c>
      <c r="D16" s="63" t="s">
        <v>397</v>
      </c>
      <c r="E16" s="63" t="s">
        <v>342</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472</v>
      </c>
    </row>
    <row r="17" customFormat="false" ht="15" hidden="false" customHeight="true" outlineLevel="0" collapsed="false">
      <c r="A17" s="6" t="s">
        <v>473</v>
      </c>
      <c r="B17" s="6" t="s">
        <v>474</v>
      </c>
      <c r="C17" s="62" t="s">
        <v>95</v>
      </c>
      <c r="D17" s="63" t="s">
        <v>420</v>
      </c>
      <c r="E17" s="63" t="s">
        <v>469</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475</v>
      </c>
    </row>
    <row r="18" customFormat="false" ht="26.25" hidden="false" customHeight="true" outlineLevel="0" collapsed="false">
      <c r="A18" s="6" t="s">
        <v>476</v>
      </c>
      <c r="B18" s="6" t="s">
        <v>477</v>
      </c>
      <c r="C18" s="62" t="s">
        <v>95</v>
      </c>
      <c r="D18" s="63" t="s">
        <v>397</v>
      </c>
      <c r="E18" s="63" t="s">
        <v>342</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478</v>
      </c>
    </row>
    <row r="19" customFormat="false" ht="15" hidden="false" customHeight="true" outlineLevel="0" collapsed="false">
      <c r="A19" s="6" t="s">
        <v>479</v>
      </c>
      <c r="B19" s="6" t="s">
        <v>477</v>
      </c>
      <c r="C19" s="62" t="s">
        <v>95</v>
      </c>
      <c r="D19" s="63" t="s">
        <v>397</v>
      </c>
      <c r="E19" s="63" t="s">
        <v>342</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480</v>
      </c>
    </row>
    <row r="20" customFormat="false" ht="15" hidden="false" customHeight="true" outlineLevel="0" collapsed="false">
      <c r="A20" s="6" t="s">
        <v>481</v>
      </c>
      <c r="B20" s="6" t="s">
        <v>477</v>
      </c>
      <c r="C20" s="62" t="s">
        <v>406</v>
      </c>
      <c r="D20" s="63" t="s">
        <v>397</v>
      </c>
      <c r="E20" s="63" t="s">
        <v>342</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482</v>
      </c>
    </row>
    <row r="21" customFormat="false" ht="15" hidden="false" customHeight="true" outlineLevel="0" collapsed="false">
      <c r="A21" s="6" t="s">
        <v>483</v>
      </c>
      <c r="B21" s="6" t="s">
        <v>477</v>
      </c>
      <c r="C21" s="62" t="s">
        <v>95</v>
      </c>
      <c r="D21" s="63" t="s">
        <v>420</v>
      </c>
      <c r="E21" s="63" t="s">
        <v>342</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484</v>
      </c>
    </row>
    <row r="22" customFormat="false" ht="15" hidden="false" customHeight="true" outlineLevel="0" collapsed="false">
      <c r="A22" s="6" t="s">
        <v>485</v>
      </c>
      <c r="B22" s="6" t="s">
        <v>432</v>
      </c>
      <c r="C22" s="62" t="s">
        <v>406</v>
      </c>
      <c r="D22" s="63" t="s">
        <v>397</v>
      </c>
      <c r="E22" s="63" t="s">
        <v>342</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486</v>
      </c>
    </row>
    <row r="24" customFormat="false" ht="15" hidden="false" customHeight="true" outlineLevel="0" collapsed="false">
      <c r="A24" s="8" t="s">
        <v>487</v>
      </c>
      <c r="I24" s="65" t="n">
        <f aca="false">SUMIFS(I5:I22,$C$5:$C$22,"Y")</f>
        <v>232.68245</v>
      </c>
      <c r="J24" s="65" t="n">
        <f aca="false">SUMIFS(J5:J22,$C$5:$C$22,"Y")</f>
        <v>355.32145</v>
      </c>
      <c r="K24" s="65" t="n">
        <f aca="false">SUMIFS(K5:K22,$C$5:$C$22,"Y")</f>
        <v>736.5767</v>
      </c>
    </row>
    <row r="25" customFormat="false" ht="15" hidden="false" customHeight="true" outlineLevel="0" collapsed="false">
      <c r="A25" s="8" t="s">
        <v>488</v>
      </c>
      <c r="I25" s="65" t="n">
        <f aca="false">I24*12</f>
        <v>2792.1894</v>
      </c>
      <c r="J25" s="65" t="n">
        <f aca="false">J24*12</f>
        <v>4263.8574</v>
      </c>
      <c r="K25" s="65" t="n">
        <f aca="false">K24*12</f>
        <v>8838.9204</v>
      </c>
    </row>
    <row r="26" customFormat="false" ht="15" hidden="false" customHeight="true" outlineLevel="0" collapsed="false">
      <c r="A26" s="8" t="s">
        <v>489</v>
      </c>
      <c r="I26" s="65" t="n">
        <f aca="false">SUM(I5:I22)</f>
        <v>236.32455</v>
      </c>
      <c r="J26" s="65" t="n">
        <f aca="false">SUM(J5:J22)</f>
        <v>587.60565</v>
      </c>
      <c r="K26" s="65" t="n">
        <f aca="false">SUM(K5:K22)</f>
        <v>1791.1451</v>
      </c>
    </row>
    <row r="28" customFormat="false" ht="15" hidden="false" customHeight="true" outlineLevel="0" collapsed="false">
      <c r="A28" s="32" t="s">
        <v>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491</v>
      </c>
    </row>
    <row r="2" customFormat="false" ht="15" hidden="false" customHeight="true" outlineLevel="0" collapsed="false">
      <c r="A2" s="3" t="s">
        <v>492</v>
      </c>
    </row>
    <row r="4" customFormat="false" ht="57.75" hidden="false" customHeight="true" outlineLevel="0" collapsed="false">
      <c r="A4" s="20" t="s">
        <v>181</v>
      </c>
      <c r="B4" s="20" t="s">
        <v>182</v>
      </c>
      <c r="C4" s="20" t="s">
        <v>493</v>
      </c>
      <c r="D4" s="20" t="s">
        <v>494</v>
      </c>
      <c r="E4" s="20" t="s">
        <v>495</v>
      </c>
      <c r="F4" s="20" t="s">
        <v>496</v>
      </c>
      <c r="G4" s="20" t="s">
        <v>497</v>
      </c>
      <c r="H4" s="20" t="s">
        <v>498</v>
      </c>
      <c r="I4" s="20" t="s">
        <v>499</v>
      </c>
      <c r="J4" s="20" t="s">
        <v>500</v>
      </c>
      <c r="K4" s="20" t="s">
        <v>501</v>
      </c>
      <c r="L4" s="20" t="s">
        <v>502</v>
      </c>
      <c r="M4" s="20" t="s">
        <v>503</v>
      </c>
      <c r="N4" s="20" t="s">
        <v>504</v>
      </c>
      <c r="O4" s="20" t="s">
        <v>505</v>
      </c>
      <c r="P4" s="20" t="s">
        <v>506</v>
      </c>
      <c r="Q4" s="20" t="s">
        <v>507</v>
      </c>
      <c r="R4" s="20" t="s">
        <v>508</v>
      </c>
      <c r="S4" s="20" t="s">
        <v>509</v>
      </c>
    </row>
    <row r="5" customFormat="false" ht="15" hidden="false" customHeight="true" outlineLevel="0" collapsed="false">
      <c r="A5" s="6" t="s">
        <v>189</v>
      </c>
      <c r="B5" s="6" t="s">
        <v>190</v>
      </c>
      <c r="C5" s="7" t="n">
        <f aca="false">Assumptions!$B$10*Pricing!$D$39</f>
        <v>4.4411</v>
      </c>
      <c r="D5" s="63" t="n">
        <v>1</v>
      </c>
      <c r="E5" s="67" t="n">
        <f aca="false">1/D5</f>
        <v>1</v>
      </c>
      <c r="F5" s="37" t="n">
        <f aca="false">C5/D5</f>
        <v>4.4411</v>
      </c>
      <c r="G5" s="37" t="n">
        <f aca="false">F5-H5</f>
        <v>0.770769421487603</v>
      </c>
      <c r="H5" s="37" t="n">
        <f aca="false">F5/(1+Assumptions!$B$7)</f>
        <v>3.6703305785124</v>
      </c>
      <c r="I5" s="37" t="n">
        <f aca="false">H5*Assumptions!$B$21</f>
        <v>0.55054958677686</v>
      </c>
      <c r="J5" s="37" t="n">
        <f aca="false">F5*(Assumptions!$B$22+Assumptions!$B$24)+Assumptions!$B$23*E5</f>
        <v>0.3477042</v>
      </c>
      <c r="K5" s="37" t="n">
        <f aca="false">Assumptions!$B$19*I5+(1-Assumptions!$B$19)*J5</f>
        <v>0.469411432066116</v>
      </c>
      <c r="L5" s="37" t="n">
        <f aca="false">H5-K5</f>
        <v>3.20091914644628</v>
      </c>
      <c r="M5" s="37" t="n">
        <f aca="false">Assumptions!$B$31*Assumptions!$B$6*(1+Assumptions!$B$8)</f>
        <v>0.280962</v>
      </c>
      <c r="N5" s="37" t="n">
        <f aca="false">Assumptions!$B$36</f>
        <v>0.02</v>
      </c>
      <c r="O5" s="37" t="n">
        <f aca="false">L5-M5-N5</f>
        <v>2.89995714644628</v>
      </c>
      <c r="P5" s="18" t="n">
        <f aca="false">IF(F5=0,0,O5/F5)</f>
        <v>0.652981726699755</v>
      </c>
      <c r="Q5" s="37" t="n">
        <f aca="false">Assumptions!$B$32*Assumptions!$B$6*(1+Assumptions!$B$8)</f>
        <v>2.49744</v>
      </c>
      <c r="R5" s="37" t="n">
        <f aca="false">L5-Q5-N5</f>
        <v>0.683479146446281</v>
      </c>
    </row>
    <row r="6" customFormat="false" ht="15" hidden="false" customHeight="true" outlineLevel="0" collapsed="false">
      <c r="A6" s="6" t="s">
        <v>189</v>
      </c>
      <c r="B6" s="6" t="s">
        <v>191</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0.280962</v>
      </c>
      <c r="N6" s="37" t="n">
        <f aca="false">Assumptions!$B$36</f>
        <v>0.02</v>
      </c>
      <c r="O6" s="37" t="n">
        <f aca="false">L6-M6-N6-$C$35</f>
        <v>2.33431409290152</v>
      </c>
      <c r="P6" s="18" t="n">
        <f aca="false">IF(F6=0,0,O6/F6)</f>
        <v>0.654133899648879</v>
      </c>
      <c r="Q6" s="37" t="n">
        <f aca="false">Assumptions!$B$32*Assumptions!$B$6*(1+Assumptions!$B$8)</f>
        <v>2.49744</v>
      </c>
      <c r="R6" s="37" t="n">
        <f aca="false">L6-Q6-N6-$C$35</f>
        <v>0.117836092901515</v>
      </c>
      <c r="S6" s="18" t="n">
        <f aca="false">1-C6/(12*C5)</f>
        <v>0.196470023380094</v>
      </c>
    </row>
    <row r="7" customFormat="false" ht="15" hidden="false" customHeight="true" outlineLevel="0" collapsed="false">
      <c r="A7" s="6" t="s">
        <v>192</v>
      </c>
      <c r="B7" s="6" t="s">
        <v>190</v>
      </c>
      <c r="C7" s="7" t="n">
        <f aca="false">Assumptions!$B$12*Pricing!$E$39</f>
        <v>7.1111</v>
      </c>
      <c r="D7" s="63" t="n">
        <v>1</v>
      </c>
      <c r="E7" s="67" t="n">
        <f aca="false">1/D7</f>
        <v>1</v>
      </c>
      <c r="F7" s="37" t="n">
        <f aca="false">C7/D7</f>
        <v>7.1111</v>
      </c>
      <c r="G7" s="37" t="n">
        <f aca="false">F7-H7</f>
        <v>1.23415785123967</v>
      </c>
      <c r="H7" s="37" t="n">
        <f aca="false">F7/(1+Assumptions!$B$7)</f>
        <v>5.87694214876033</v>
      </c>
      <c r="I7" s="37" t="n">
        <f aca="false">H7*Assumptions!$B$21</f>
        <v>0.88154132231405</v>
      </c>
      <c r="J7" s="37" t="n">
        <f aca="false">F7*(Assumptions!$B$22+Assumptions!$B$24)+Assumptions!$B$23*E7</f>
        <v>0.4064442</v>
      </c>
      <c r="K7" s="37" t="n">
        <f aca="false">Assumptions!$B$19*I7+(1-Assumptions!$B$19)*J7</f>
        <v>0.69150247338843</v>
      </c>
      <c r="L7" s="37" t="n">
        <f aca="false">H7-K7</f>
        <v>5.1854396753719</v>
      </c>
      <c r="M7" s="37" t="n">
        <f aca="false">Assumptions!$B$33*Assumptions!$B$6*(1+Assumptions!$B$8)</f>
        <v>0.457864</v>
      </c>
      <c r="N7" s="37" t="n">
        <f aca="false">Assumptions!$B$36</f>
        <v>0.02</v>
      </c>
      <c r="O7" s="37" t="n">
        <f aca="false">L7-M7-N7</f>
        <v>4.7075756753719</v>
      </c>
      <c r="P7" s="18" t="n">
        <f aca="false">IF(F7=0,0,O7/F7)</f>
        <v>0.662003863730211</v>
      </c>
      <c r="Q7" s="37" t="n">
        <f aca="false">Assumptions!$B$34*Assumptions!$B$6*(1+Assumptions!$B$8)</f>
        <v>3.1218</v>
      </c>
      <c r="R7" s="37" t="n">
        <f aca="false">L7-Q7-N7</f>
        <v>2.0436396753719</v>
      </c>
    </row>
    <row r="8" customFormat="false" ht="15" hidden="false" customHeight="true" outlineLevel="0" collapsed="false">
      <c r="A8" s="6" t="s">
        <v>192</v>
      </c>
      <c r="B8" s="6" t="s">
        <v>191</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0.457864</v>
      </c>
      <c r="N8" s="37" t="n">
        <f aca="false">Assumptions!$B$36</f>
        <v>0.02</v>
      </c>
      <c r="O8" s="37" t="n">
        <f aca="false">L8-M8-N8-$C$36</f>
        <v>3.21341967850758</v>
      </c>
      <c r="P8" s="18" t="n">
        <f aca="false">IF(F8=0,0,O8/F8)</f>
        <v>0.643164339265175</v>
      </c>
      <c r="Q8" s="37" t="n">
        <f aca="false">Assumptions!$B$34*Assumptions!$B$6*(1+Assumptions!$B$8)</f>
        <v>3.1218</v>
      </c>
      <c r="R8" s="37" t="n">
        <f aca="false">L8-Q8-N8-$C$36</f>
        <v>0.549483678507575</v>
      </c>
      <c r="S8" s="18" t="n">
        <f aca="false">1-C8/(12*C7)</f>
        <v>0.29739909261577</v>
      </c>
    </row>
    <row r="10" customFormat="false" ht="15" hidden="false" customHeight="true" outlineLevel="0" collapsed="false">
      <c r="A10" s="8" t="s">
        <v>510</v>
      </c>
    </row>
    <row r="11" customFormat="false" ht="15" hidden="false" customHeight="true" outlineLevel="0" collapsed="false">
      <c r="A11" s="8" t="s">
        <v>189</v>
      </c>
      <c r="B11" s="8" t="s">
        <v>511</v>
      </c>
      <c r="F11" s="45" t="n">
        <f aca="false">(1-Assumptions!$B$17)*F5+Assumptions!$B$17*F6</f>
        <v>3.83031988541667</v>
      </c>
      <c r="G11" s="45" t="n">
        <f aca="false">(1-Assumptions!$B$17)*G5+Assumptions!$B$17*G6</f>
        <v>0.664766261105372</v>
      </c>
      <c r="H11" s="45" t="n">
        <f aca="false">(1-Assumptions!$B$17)*H5+Assumptions!$B$17*H6</f>
        <v>3.1655536243113</v>
      </c>
      <c r="K11" s="45" t="n">
        <f aca="false">(1-Assumptions!$B$17)*K5+Assumptions!$B$17*K6</f>
        <v>0.354439974513017</v>
      </c>
      <c r="L11" s="45" t="n">
        <f aca="false">(1-Assumptions!$B$17)*L5+Assumptions!$B$17*L6</f>
        <v>2.81111364979828</v>
      </c>
      <c r="M11" s="45" t="n">
        <f aca="false">(1-Assumptions!$B$17)*M5+Assumptions!$B$17*M6</f>
        <v>0.280962</v>
      </c>
      <c r="N11" s="45" t="n">
        <f aca="false">(1-Assumptions!$B$17)*N5+Assumptions!$B$17*N6</f>
        <v>0.02</v>
      </c>
      <c r="O11" s="45" t="n">
        <f aca="false">(1-Assumptions!$B$17)*O5+Assumptions!$B$17*O6</f>
        <v>2.50400700896495</v>
      </c>
      <c r="P11" s="42" t="n">
        <f aca="false">IF(F11=0,0,O11/F11)</f>
        <v>0.653733130357742</v>
      </c>
      <c r="Q11" s="45" t="n">
        <f aca="false">(1-Assumptions!$B$17)*Q5+Assumptions!$B$17*Q6</f>
        <v>2.49744</v>
      </c>
      <c r="R11" s="45" t="n">
        <f aca="false">(1-Assumptions!$B$17)*R5+Assumptions!$B$17*R6</f>
        <v>0.287529008964945</v>
      </c>
    </row>
    <row r="12" customFormat="false" ht="15" hidden="false" customHeight="true" outlineLevel="0" collapsed="false">
      <c r="A12" s="8" t="s">
        <v>192</v>
      </c>
      <c r="B12" s="8" t="s">
        <v>511</v>
      </c>
      <c r="F12" s="45" t="n">
        <f aca="false">(1-Assumptions!$B$18)*F7+Assumptions!$B$18*F8</f>
        <v>6.159424390625</v>
      </c>
      <c r="G12" s="45" t="n">
        <f aca="false">(1-Assumptions!$B$18)*G7+Assumptions!$B$18*G8</f>
        <v>1.06899100994318</v>
      </c>
      <c r="H12" s="45" t="n">
        <f aca="false">(1-Assumptions!$B$18)*H7+Assumptions!$B$18*H8</f>
        <v>5.09043338068182</v>
      </c>
      <c r="K12" s="45" t="n">
        <f aca="false">(1-Assumptions!$B$18)*K7+Assumptions!$B$18*K8</f>
        <v>0.571091938898864</v>
      </c>
      <c r="L12" s="45" t="n">
        <f aca="false">(1-Assumptions!$B$18)*L7+Assumptions!$B$18*L8</f>
        <v>4.51934144178295</v>
      </c>
      <c r="M12" s="45" t="n">
        <f aca="false">(1-Assumptions!$B$18)*M7+Assumptions!$B$18*M8</f>
        <v>0.457864</v>
      </c>
      <c r="N12" s="45" t="n">
        <f aca="false">(1-Assumptions!$B$18)*N7+Assumptions!$B$18*N8</f>
        <v>0.02</v>
      </c>
      <c r="O12" s="45" t="n">
        <f aca="false">(1-Assumptions!$B$18)*O7+Assumptions!$B$18*O8</f>
        <v>4.03520547678296</v>
      </c>
      <c r="P12" s="42" t="n">
        <f aca="false">IF(F12=0,0,O12/F12)</f>
        <v>0.655127041241836</v>
      </c>
      <c r="Q12" s="45" t="n">
        <f aca="false">(1-Assumptions!$B$18)*Q7+Assumptions!$B$18*Q8</f>
        <v>3.1218</v>
      </c>
      <c r="R12" s="45" t="n">
        <f aca="false">(1-Assumptions!$B$18)*R7+Assumptions!$B$18*R8</f>
        <v>1.37126947678295</v>
      </c>
    </row>
    <row r="13" customFormat="false" ht="15" hidden="false" customHeight="true" outlineLevel="0" collapsed="false">
      <c r="A13" s="8" t="s">
        <v>512</v>
      </c>
      <c r="B13" s="8" t="s">
        <v>511</v>
      </c>
      <c r="F13" s="45" t="n">
        <f aca="false">IF((Assumptions!$B$15+Assumptions!$B$16)=0,0,Assumptions!$B$15/(Assumptions!$B$15+Assumptions!$B$16)*F11+(1-Assumptions!$B$15/(Assumptions!$B$15+Assumptions!$B$16))*F12)</f>
        <v>4.25379343181818</v>
      </c>
      <c r="G13" s="45" t="n">
        <f aca="false">IF((Assumptions!$B$15+Assumptions!$B$16)=0,0,Assumptions!$B$15/(Assumptions!$B$15+Assumptions!$B$16)*G11+(1-Assumptions!$B$15/(Assumptions!$B$15+Assumptions!$B$16))*G12)</f>
        <v>0.738261669984974</v>
      </c>
      <c r="H13" s="45" t="n">
        <f aca="false">IF((Assumptions!$B$15+Assumptions!$B$16)=0,0,Assumptions!$B$15/(Assumptions!$B$15+Assumptions!$B$16)*H11+(1-Assumptions!$B$15/(Assumptions!$B$15+Assumptions!$B$16))*H12)</f>
        <v>3.51553176183321</v>
      </c>
      <c r="K13" s="45" t="n">
        <f aca="false">IF((Assumptions!$B$15+Assumptions!$B$16)=0,0,Assumptions!$B$15/(Assumptions!$B$15+Assumptions!$B$16)*K11+(1-Assumptions!$B$15/(Assumptions!$B$15+Assumptions!$B$16))*K12)</f>
        <v>0.393831240764989</v>
      </c>
      <c r="L13" s="45" t="n">
        <f aca="false">IF((Assumptions!$B$15+Assumptions!$B$16)=0,0,Assumptions!$B$15/(Assumptions!$B$15+Assumptions!$B$16)*L11+(1-Assumptions!$B$15/(Assumptions!$B$15+Assumptions!$B$16))*L12)</f>
        <v>3.12170052106822</v>
      </c>
      <c r="M13" s="45" t="n">
        <f aca="false">IF((Assumptions!$B$15+Assumptions!$B$16)=0,0,Assumptions!$B$15/(Assumptions!$B$15+Assumptions!$B$16)*M11+(1-Assumptions!$B$15/(Assumptions!$B$15+Assumptions!$B$16))*M12)</f>
        <v>0.313126</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2.7824067303864</v>
      </c>
      <c r="P13" s="42" t="n">
        <f aca="false">IF(F13=0,0,O13/F13)</f>
        <v>0.654100104996666</v>
      </c>
      <c r="Q13" s="45" t="n">
        <f aca="false">IF((Assumptions!$B$15+Assumptions!$B$16)=0,0,Assumptions!$B$15/(Assumptions!$B$15+Assumptions!$B$16)*Q11+(1-Assumptions!$B$15/(Assumptions!$B$15+Assumptions!$B$16))*Q12)</f>
        <v>2.61096</v>
      </c>
      <c r="R13" s="45" t="n">
        <f aca="false">IF((Assumptions!$B$15+Assumptions!$B$16)=0,0,Assumptions!$B$15/(Assumptions!$B$15+Assumptions!$B$16)*R11+(1-Assumptions!$B$15/(Assumptions!$B$15+Assumptions!$B$16))*R12)</f>
        <v>0.484572730386401</v>
      </c>
    </row>
    <row r="15" customFormat="false" ht="15" hidden="false" customHeight="true" outlineLevel="0" collapsed="false">
      <c r="A15" s="4" t="s">
        <v>513</v>
      </c>
      <c r="B15" s="5"/>
      <c r="C15" s="5"/>
      <c r="D15" s="5"/>
      <c r="E15" s="5"/>
      <c r="F15" s="5"/>
      <c r="G15" s="5"/>
    </row>
    <row r="16" customFormat="false" ht="26.25" hidden="false" customHeight="true" outlineLevel="0" collapsed="false">
      <c r="A16" s="20" t="s">
        <v>514</v>
      </c>
      <c r="B16" s="20"/>
      <c r="C16" s="20" t="s">
        <v>515</v>
      </c>
      <c r="D16" s="20" t="s">
        <v>497</v>
      </c>
      <c r="E16" s="20" t="s">
        <v>516</v>
      </c>
      <c r="F16" s="20" t="s">
        <v>517</v>
      </c>
      <c r="G16" s="20" t="s">
        <v>518</v>
      </c>
    </row>
    <row r="17" customFormat="false" ht="15" hidden="false" customHeight="true" outlineLevel="0" collapsed="false">
      <c r="A17" s="6" t="s">
        <v>519</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520</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521</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522</v>
      </c>
      <c r="B21" s="5"/>
      <c r="C21" s="5"/>
      <c r="D21" s="5"/>
      <c r="E21" s="5"/>
      <c r="F21" s="5"/>
      <c r="G21" s="5"/>
    </row>
    <row r="22" customFormat="false" ht="26.25" hidden="false" customHeight="true" outlineLevel="0" collapsed="false">
      <c r="A22" s="20" t="s">
        <v>523</v>
      </c>
      <c r="B22" s="20"/>
      <c r="C22" s="20" t="s">
        <v>524</v>
      </c>
      <c r="D22" s="20" t="s">
        <v>20</v>
      </c>
      <c r="E22" s="20" t="s">
        <v>525</v>
      </c>
      <c r="F22" s="20" t="s">
        <v>526</v>
      </c>
      <c r="G22" s="20"/>
    </row>
    <row r="23" customFormat="false" ht="15" hidden="false" customHeight="true" outlineLevel="0" collapsed="false">
      <c r="A23" s="6" t="s">
        <v>439</v>
      </c>
      <c r="C23" s="7" t="n">
        <f aca="false">'Fixed costs'!$I$24</f>
        <v>232.68245</v>
      </c>
      <c r="D23" s="19" t="n">
        <f aca="false">IF(ISNUMBER(E23),ROUNDUP(E23*(Assumptions!$B$15+Assumptions!$B$16),0),"never")</f>
        <v>81</v>
      </c>
      <c r="E23" s="19" t="n">
        <f aca="false">IF(F23&lt;=0,"never",ROUNDUP(C23/F23,0))</f>
        <v>1470</v>
      </c>
      <c r="F23" s="37" t="n">
        <f aca="false">(Assumptions!$B$15*$O$11+Assumptions!$B$16*$O$12)+(1-Assumptions!$B$15-Assumptions!$B$16)*(Assumptions!$B$54*Assumptions!$B$56*'Credit shop'!$G$22-$C$29)+Assumptions!$B$15*Assumptions!$B$55*Assumptions!$B$56*'Credit shop'!$G$22</f>
        <v>0.158310312909103</v>
      </c>
    </row>
    <row r="24" customFormat="false" ht="15" hidden="false" customHeight="true" outlineLevel="0" collapsed="false">
      <c r="A24" s="6" t="s">
        <v>440</v>
      </c>
      <c r="C24" s="7" t="n">
        <f aca="false">'Fixed costs'!$J$24</f>
        <v>355.32145</v>
      </c>
      <c r="D24" s="19" t="n">
        <f aca="false">IF(ISNUMBER(E24),ROUNDUP(E24*(Assumptions!$B$15+Assumptions!$B$16),0),"never")</f>
        <v>124</v>
      </c>
      <c r="E24" s="19" t="n">
        <f aca="false">IF(F24&lt;=0,"never",ROUNDUP(C24/F24,0))</f>
        <v>2245</v>
      </c>
      <c r="F24" s="37" t="n">
        <f aca="false">(Assumptions!$B$15*$O$11+Assumptions!$B$16*$O$12)+(1-Assumptions!$B$15-Assumptions!$B$16)*(Assumptions!$B$54*Assumptions!$B$56*'Credit shop'!$G$22-$C$29)+Assumptions!$B$15*Assumptions!$B$55*Assumptions!$B$56*'Credit shop'!$G$22</f>
        <v>0.158310312909103</v>
      </c>
    </row>
    <row r="25" customFormat="false" ht="15" hidden="false" customHeight="true" outlineLevel="0" collapsed="false">
      <c r="A25" s="6" t="s">
        <v>441</v>
      </c>
      <c r="C25" s="7" t="n">
        <f aca="false">'Fixed costs'!$K$24</f>
        <v>736.5767</v>
      </c>
      <c r="D25" s="19" t="n">
        <f aca="false">IF(ISNUMBER(E25),ROUNDUP(E25*(Assumptions!$B$15+Assumptions!$B$16),0),"never")</f>
        <v>256</v>
      </c>
      <c r="E25" s="19" t="n">
        <f aca="false">IF(F25&lt;=0,"never",ROUNDUP(C25/F25,0))</f>
        <v>4653</v>
      </c>
      <c r="F25" s="37" t="n">
        <f aca="false">(Assumptions!$B$15*$O$11+Assumptions!$B$16*$O$12)+(1-Assumptions!$B$15-Assumptions!$B$16)*(Assumptions!$B$54*Assumptions!$B$56*'Credit shop'!$G$22-$C$29)+Assumptions!$B$15*Assumptions!$B$55*Assumptions!$B$56*'Credit shop'!$G$22</f>
        <v>0.158310312909103</v>
      </c>
    </row>
    <row r="27" customFormat="false" ht="15" hidden="false" customHeight="true" outlineLevel="0" collapsed="false">
      <c r="A27" s="32" t="s">
        <v>527</v>
      </c>
    </row>
    <row r="29" customFormat="false" ht="15" hidden="false" customHeight="true" outlineLevel="0" collapsed="false">
      <c r="A29" s="8" t="s">
        <v>528</v>
      </c>
      <c r="C29" s="43" t="n">
        <f aca="false">Assumptions!$B$35+C30</f>
        <v>0.030812</v>
      </c>
    </row>
    <row r="30" customFormat="false" ht="15" hidden="false" customHeight="false" outlineLevel="0" collapsed="false">
      <c r="A30" s="6" t="s">
        <v>529</v>
      </c>
      <c r="C30" s="37" t="n">
        <f aca="false">Assumptions!$B$49*Assumptions!$B$6*(1+Assumptions!$B$8)</f>
        <v>0.020812</v>
      </c>
    </row>
    <row r="32" customFormat="false" ht="15" hidden="false" customHeight="false" outlineLevel="0" collapsed="false">
      <c r="A32" s="8" t="s">
        <v>530</v>
      </c>
    </row>
    <row r="33" customFormat="false" ht="15" hidden="false" customHeight="false" outlineLevel="0" collapsed="false">
      <c r="A33" s="6" t="s">
        <v>531</v>
      </c>
      <c r="C33" s="31" t="n">
        <v>7</v>
      </c>
    </row>
    <row r="34" customFormat="false" ht="15" hidden="false" customHeight="false" outlineLevel="0" collapsed="false">
      <c r="A34" s="6" t="s">
        <v>532</v>
      </c>
      <c r="C34" s="37" t="n">
        <f aca="false">C33/30*(M6+N6)</f>
        <v>0.0702244666666667</v>
      </c>
      <c r="D34" s="37" t="n">
        <f aca="false">C33/30*(M8+N8)</f>
        <v>0.1115016</v>
      </c>
    </row>
    <row r="35" customFormat="false" ht="15" hidden="false" customHeight="false" outlineLevel="0" collapsed="false">
      <c r="A35" s="6" t="s">
        <v>533</v>
      </c>
      <c r="C35" s="37" t="n">
        <f aca="false">IF(Assumptions!$B$51=0,0,(1/Assumptions!$B$51-1)*C34/12)</f>
        <v>0.00877805833333333</v>
      </c>
    </row>
    <row r="36" customFormat="false" ht="15" hidden="false" customHeight="false" outlineLevel="0" collapsed="false">
      <c r="A36" s="6" t="s">
        <v>534</v>
      </c>
      <c r="C36" s="37" t="n">
        <f aca="false">IF(Assumptions!$B$51=0,0,(1/Assumptions!$B$51-1)*D34/12)</f>
        <v>0.0139377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535</v>
      </c>
    </row>
    <row r="2" customFormat="false" ht="15" hidden="false" customHeight="true" outlineLevel="0" collapsed="false">
      <c r="A2" s="3" t="s">
        <v>536</v>
      </c>
    </row>
    <row r="4" customFormat="false" ht="15" hidden="false" customHeight="true" outlineLevel="0" collapsed="false">
      <c r="A4" s="20" t="s">
        <v>537</v>
      </c>
      <c r="B4" s="20" t="s">
        <v>538</v>
      </c>
      <c r="C4" s="20" t="s">
        <v>539</v>
      </c>
      <c r="D4" s="20" t="s">
        <v>540</v>
      </c>
      <c r="E4" s="20" t="s">
        <v>541</v>
      </c>
      <c r="F4" s="20" t="s">
        <v>542</v>
      </c>
      <c r="G4" s="20" t="s">
        <v>543</v>
      </c>
      <c r="H4" s="20" t="s">
        <v>544</v>
      </c>
      <c r="I4" s="20" t="s">
        <v>545</v>
      </c>
    </row>
    <row r="5" customFormat="false" ht="15" hidden="false" customHeight="true" outlineLevel="0" collapsed="false">
      <c r="A5" s="6" t="s">
        <v>546</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547</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548</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549</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550</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551</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552</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553</v>
      </c>
      <c r="B12" s="14"/>
      <c r="C12" s="14"/>
      <c r="D12" s="14"/>
      <c r="E12" s="14"/>
      <c r="F12" s="14"/>
      <c r="G12" s="14"/>
      <c r="H12" s="14"/>
      <c r="I12" s="14"/>
    </row>
    <row r="13" customFormat="false" ht="15" hidden="false" customHeight="false" outlineLevel="0" collapsed="false">
      <c r="A13" s="6" t="s">
        <v>554</v>
      </c>
      <c r="B13" s="37" t="n">
        <f aca="false">B8*'Unit economics'!$F$11+B9*'Unit economics'!$F$12</f>
        <v>25.3110238177083</v>
      </c>
      <c r="C13" s="37" t="n">
        <f aca="false">C8*'Unit economics'!$F$11+C9*'Unit economics'!$F$12</f>
        <v>118.894479317708</v>
      </c>
      <c r="D13" s="37" t="n">
        <f aca="false">D8*'Unit economics'!$F$11+D9*'Unit economics'!$F$12</f>
        <v>233.95863875</v>
      </c>
      <c r="E13" s="37" t="n">
        <f aca="false">E8*'Unit economics'!$F$11+E9*'Unit economics'!$F$12</f>
        <v>586.811756817708</v>
      </c>
      <c r="F13" s="37" t="n">
        <f aca="false">F8*'Unit economics'!$F$11+F9*'Unit economics'!$F$12</f>
        <v>1169.79319375</v>
      </c>
      <c r="G13" s="37" t="n">
        <f aca="false">G8*'Unit economics'!$F$11+G9*'Unit economics'!$F$12</f>
        <v>2339.5863875</v>
      </c>
      <c r="H13" s="37" t="n">
        <f aca="false">H8*'Unit economics'!$F$11+H9*'Unit economics'!$F$12</f>
        <v>5848.96596875</v>
      </c>
      <c r="I13" s="37" t="n">
        <f aca="false">I8*'Unit economics'!$F$11+I9*'Unit economics'!$F$12</f>
        <v>11697.9319375</v>
      </c>
    </row>
    <row r="14" customFormat="false" ht="15" hidden="false" customHeight="false" outlineLevel="0" collapsed="false">
      <c r="A14" s="6" t="s">
        <v>555</v>
      </c>
      <c r="B14" s="37" t="n">
        <f aca="false">-(B8*'Unit economics'!$G$11+B9*'Unit economics'!$G$12)</f>
        <v>-4.39282231547004</v>
      </c>
      <c r="C14" s="37" t="n">
        <f aca="false">-(C8*'Unit economics'!$G$11+C9*'Unit economics'!$G$12)</f>
        <v>-20.6345790551395</v>
      </c>
      <c r="D14" s="37" t="n">
        <f aca="false">-(D8*'Unit economics'!$G$11+D9*'Unit economics'!$G$12)</f>
        <v>-40.6043918491736</v>
      </c>
      <c r="E14" s="37" t="n">
        <f aca="false">-(E8*'Unit economics'!$G$11+E9*'Unit economics'!$G$12)</f>
        <v>-101.843362753487</v>
      </c>
      <c r="F14" s="37" t="n">
        <f aca="false">-(F8*'Unit economics'!$G$11+F9*'Unit economics'!$G$12)</f>
        <v>-203.021959245868</v>
      </c>
      <c r="G14" s="37" t="n">
        <f aca="false">-(G8*'Unit economics'!$G$11+G9*'Unit economics'!$G$12)</f>
        <v>-406.043918491736</v>
      </c>
      <c r="H14" s="37" t="n">
        <f aca="false">-(H8*'Unit economics'!$G$11+H9*'Unit economics'!$G$12)</f>
        <v>-1015.10979622934</v>
      </c>
      <c r="I14" s="37" t="n">
        <f aca="false">-(I8*'Unit economics'!$G$11+I9*'Unit economics'!$G$12)</f>
        <v>-2030.21959245868</v>
      </c>
    </row>
    <row r="15" customFormat="false" ht="15" hidden="false" customHeight="false" outlineLevel="0" collapsed="false">
      <c r="A15" s="6" t="s">
        <v>556</v>
      </c>
      <c r="B15" s="37" t="n">
        <f aca="false">B23*(1-Assumptions!$B$19)*(B8*'Unit economics'!$G$11+B9*'Unit economics'!$G$12)</f>
        <v>1.75712892618802</v>
      </c>
      <c r="C15" s="37" t="n">
        <f aca="false">C23*(1-Assumptions!$B$19)*(C8*'Unit economics'!$G$11+C9*'Unit economics'!$G$12)</f>
        <v>8.25383162205579</v>
      </c>
      <c r="D15" s="37" t="n">
        <f aca="false">D23*(1-Assumptions!$B$19)*(D8*'Unit economics'!$G$11+D9*'Unit economics'!$G$12)</f>
        <v>16.2417567396694</v>
      </c>
      <c r="E15" s="37" t="n">
        <f aca="false">E23*(1-Assumptions!$B$19)*(E8*'Unit economics'!$G$11+E9*'Unit economics'!$G$12)</f>
        <v>40.7373451013946</v>
      </c>
      <c r="F15" s="37" t="n">
        <f aca="false">F23*(1-Assumptions!$B$19)*(F8*'Unit economics'!$G$11+F9*'Unit economics'!$G$12)</f>
        <v>81.2087836983471</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557</v>
      </c>
      <c r="B16" s="37" t="n">
        <f aca="false">-(B8*'Unit economics'!$K$11+B9*'Unit economics'!$K$12)</f>
        <v>-2.34329181146395</v>
      </c>
      <c r="C16" s="37" t="n">
        <f aca="false">-(C8*'Unit economics'!$K$11+C9*'Unit economics'!$K$12)</f>
        <v>-11.0075791082937</v>
      </c>
      <c r="D16" s="37" t="n">
        <f aca="false">-(D8*'Unit economics'!$K$11+D9*'Unit economics'!$K$12)</f>
        <v>-21.6607182420744</v>
      </c>
      <c r="E16" s="37" t="n">
        <f aca="false">-(E8*'Unit economics'!$K$11+E9*'Unit economics'!$K$12)</f>
        <v>-54.3290155924425</v>
      </c>
      <c r="F16" s="37" t="n">
        <f aca="false">-(F8*'Unit economics'!$K$11+F9*'Unit economics'!$K$12)</f>
        <v>-108.303591210372</v>
      </c>
      <c r="G16" s="37" t="n">
        <f aca="false">-(G8*'Unit economics'!$K$11+G9*'Unit economics'!$K$12)</f>
        <v>-216.607182420744</v>
      </c>
      <c r="H16" s="37" t="n">
        <f aca="false">-(H8*'Unit economics'!$K$11+H9*'Unit economics'!$K$12)</f>
        <v>-541.51795605186</v>
      </c>
      <c r="I16" s="37" t="n">
        <f aca="false">-(I8*'Unit economics'!$K$11+I9*'Unit economics'!$K$12)</f>
        <v>-1083.03591210372</v>
      </c>
    </row>
    <row r="17" customFormat="false" ht="15" hidden="false" customHeight="false" outlineLevel="0" collapsed="false">
      <c r="A17" s="6" t="s">
        <v>558</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559</v>
      </c>
      <c r="B18" s="43" t="n">
        <f aca="false">SUM(B13:B17)</f>
        <v>23.2718063723343</v>
      </c>
      <c r="C18" s="43" t="n">
        <f aca="false">SUM(C13:C17)</f>
        <v>113.144759308562</v>
      </c>
      <c r="D18" s="43" t="n">
        <f aca="false">SUM(D13:D17)</f>
        <v>223.212498462884</v>
      </c>
      <c r="E18" s="43" t="n">
        <f aca="false">SUM(E13:E17)</f>
        <v>556.629988478959</v>
      </c>
      <c r="F18" s="43" t="n">
        <f aca="false">SUM(F13:F17)</f>
        <v>1113.12272455905</v>
      </c>
      <c r="G18" s="43" t="n">
        <f aca="false">SUM(G13:G17)</f>
        <v>2060.88811396603</v>
      </c>
      <c r="H18" s="43" t="n">
        <f aca="false">SUM(H13:H17)</f>
        <v>5153.69016879277</v>
      </c>
      <c r="I18" s="43" t="n">
        <f aca="false">SUM(I13:I17)</f>
        <v>10304.4405698302</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560</v>
      </c>
      <c r="B20" s="14"/>
      <c r="C20" s="14"/>
      <c r="D20" s="14"/>
      <c r="E20" s="14"/>
      <c r="F20" s="14"/>
      <c r="G20" s="14"/>
      <c r="H20" s="14"/>
      <c r="I20" s="14"/>
    </row>
    <row r="21" customFormat="false" ht="15" hidden="false" customHeight="false" outlineLevel="0" collapsed="false">
      <c r="A21" s="6" t="s">
        <v>561</v>
      </c>
      <c r="B21" s="37" t="n">
        <f aca="false">(B13+B14+B11*Assumptions!$B$56*'Credit shop'!$C$21/(1+Assumptions!$B$7))*12</f>
        <v>291.362219679752</v>
      </c>
      <c r="C21" s="37" t="n">
        <f aca="false">(C13+C14+C11*Assumptions!$B$56*'Credit shop'!$C$21/(1+Assumptions!$B$7))*12</f>
        <v>1421.18161306818</v>
      </c>
      <c r="D21" s="37" t="n">
        <f aca="false">(D13+D14+D11*Assumptions!$B$56*'Credit shop'!$C$21/(1+Assumptions!$B$7))*12</f>
        <v>2804.37658264463</v>
      </c>
      <c r="E21" s="37" t="n">
        <f aca="false">(E13+E14+E11*Assumptions!$B$56*'Credit shop'!$C$21/(1+Assumptions!$B$7))*12</f>
        <v>6989.59097670455</v>
      </c>
      <c r="F21" s="37" t="n">
        <f aca="false">(F13+F14+F11*Assumptions!$B$56*'Credit shop'!$C$21/(1+Assumptions!$B$7))*12</f>
        <v>13981.5391115703</v>
      </c>
      <c r="G21" s="37" t="n">
        <f aca="false">(G13+G14+G11*Assumptions!$B$56*'Credit shop'!$C$21/(1+Assumptions!$B$7))*12</f>
        <v>27922.7344214876</v>
      </c>
      <c r="H21" s="37" t="n">
        <f aca="false">(H13+H14+H11*Assumptions!$B$56*'Credit shop'!$C$21/(1+Assumptions!$B$7))*12</f>
        <v>69827.0079545455</v>
      </c>
      <c r="I21" s="37" t="n">
        <f aca="false">(I13+I14+I11*Assumptions!$B$56*'Credit shop'!$C$21/(1+Assumptions!$B$7))*12</f>
        <v>139613.672107438</v>
      </c>
    </row>
    <row r="22" customFormat="false" ht="15" hidden="false" customHeight="false" outlineLevel="0" collapsed="false">
      <c r="A22" s="6" t="s">
        <v>562</v>
      </c>
      <c r="B22" s="37" t="n">
        <f aca="false">(B13*(1-Assumptions!$B$19)+B11*Assumptions!$B$56*'Credit shop'!$C$21*(1-Assumptions!$B$58))*Assumptions!$B$29*12</f>
        <v>101.09961146</v>
      </c>
      <c r="C22" s="37" t="n">
        <f aca="false">(C13*(1-Assumptions!$B$19)+C11*Assumptions!$B$56*'Credit shop'!$C$21*(1-Assumptions!$B$58))*Assumptions!$B$29*12</f>
        <v>479.98648058</v>
      </c>
      <c r="D22" s="37" t="n">
        <f aca="false">(D13*(1-Assumptions!$B$19)+D11*Assumptions!$B$56*'Credit shop'!$C$21*(1-Assumptions!$B$58))*Assumptions!$B$29*12</f>
        <v>945.2645328</v>
      </c>
      <c r="E22" s="37" t="n">
        <f aca="false">(E13*(1-Assumptions!$B$19)+E11*Assumptions!$B$56*'Credit shop'!$C$21*(1-Assumptions!$B$58))*Assumptions!$B$29*12</f>
        <v>2366.61026618</v>
      </c>
      <c r="F22" s="37" t="n">
        <f aca="false">(F13*(1-Assumptions!$B$19)+F11*Assumptions!$B$56*'Credit shop'!$C$21*(1-Assumptions!$B$58))*Assumptions!$B$29*12</f>
        <v>4722.417384</v>
      </c>
      <c r="G22" s="37" t="n">
        <f aca="false">(G13*(1-Assumptions!$B$19)+G11*Assumptions!$B$56*'Credit shop'!$C$21*(1-Assumptions!$B$58))*Assumptions!$B$29*12</f>
        <v>9440.929488</v>
      </c>
      <c r="H22" s="37" t="n">
        <f aca="false">(H13*(1-Assumptions!$B$19)+H11*Assumptions!$B$56*'Credit shop'!$C$21*(1-Assumptions!$B$58))*Assumptions!$B$29*12</f>
        <v>23604.27636</v>
      </c>
      <c r="I22" s="37" t="n">
        <f aca="false">(I13*(1-Assumptions!$B$19)+I11*Assumptions!$B$56*'Credit shop'!$C$21*(1-Assumptions!$B$58))*Assumptions!$B$29*12</f>
        <v>47204.64744</v>
      </c>
    </row>
    <row r="23" customFormat="false" ht="15" hidden="false" customHeight="false" outlineLevel="0" collapsed="false">
      <c r="A23" s="6" t="s">
        <v>563</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564</v>
      </c>
      <c r="B25" s="14"/>
      <c r="C25" s="14"/>
      <c r="D25" s="14"/>
      <c r="E25" s="14"/>
      <c r="F25" s="14"/>
      <c r="G25" s="14"/>
      <c r="H25" s="14"/>
      <c r="I25" s="14"/>
    </row>
    <row r="26" customFormat="false" ht="15" hidden="false" customHeight="false" outlineLevel="0" collapsed="false">
      <c r="A26" s="6" t="s">
        <v>565</v>
      </c>
      <c r="B26" s="37" t="n">
        <f aca="false">B8*'Unit economics'!$M$11+B9*'Unit economics'!$M$12+B7*'Unit economics'!$C$30</f>
        <v>3.819002</v>
      </c>
      <c r="C26" s="37" t="n">
        <f aca="false">C8*'Unit economics'!$M$11+C9*'Unit economics'!$M$12+C7*'Unit economics'!$C$30</f>
        <v>18.57471</v>
      </c>
      <c r="D26" s="37" t="n">
        <f aca="false">D8*'Unit economics'!$M$11+D9*'Unit economics'!$M$12+D7*'Unit economics'!$C$30</f>
        <v>36.88927</v>
      </c>
      <c r="E26" s="37" t="n">
        <f aca="false">E8*'Unit economics'!$M$11+E9*'Unit economics'!$M$12+E7*'Unit economics'!$C$30</f>
        <v>92.35325</v>
      </c>
      <c r="F26" s="37" t="n">
        <f aca="false">F8*'Unit economics'!$M$11+F9*'Unit economics'!$M$12+F7*'Unit economics'!$C$30</f>
        <v>184.44635</v>
      </c>
      <c r="G26" s="37" t="n">
        <f aca="false">G8*'Unit economics'!$M$11+G9*'Unit economics'!$M$12+G7*'Unit economics'!$C$30</f>
        <v>368.8927</v>
      </c>
      <c r="H26" s="37" t="n">
        <f aca="false">H8*'Unit economics'!$M$11+H9*'Unit economics'!$M$12+H7*'Unit economics'!$C$30</f>
        <v>922.23175</v>
      </c>
      <c r="I26" s="37" t="n">
        <f aca="false">I8*'Unit economics'!$M$11+I9*'Unit economics'!$M$12+I7*'Unit economics'!$C$30</f>
        <v>1844.4635</v>
      </c>
    </row>
    <row r="27" customFormat="false" ht="15" hidden="false" customHeight="false" outlineLevel="0" collapsed="false">
      <c r="A27" s="6" t="s">
        <v>566</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567</v>
      </c>
      <c r="B28" s="37" t="n">
        <f aca="false">CHOOSE(B6,'Fixed costs'!$I$24,'Fixed costs'!$J$24,'Fixed costs'!$K$24)</f>
        <v>232.68245</v>
      </c>
      <c r="C28" s="37" t="n">
        <f aca="false">CHOOSE(C6,'Fixed costs'!$I$24,'Fixed costs'!$J$24,'Fixed costs'!$K$24)</f>
        <v>232.68245</v>
      </c>
      <c r="D28" s="37" t="n">
        <f aca="false">CHOOSE(D6,'Fixed costs'!$I$24,'Fixed costs'!$J$24,'Fixed costs'!$K$24)</f>
        <v>232.68245</v>
      </c>
      <c r="E28" s="37" t="n">
        <f aca="false">CHOOSE(E6,'Fixed costs'!$I$24,'Fixed costs'!$J$24,'Fixed costs'!$K$24)</f>
        <v>355.32145</v>
      </c>
      <c r="F28" s="37" t="n">
        <f aca="false">CHOOSE(F6,'Fixed costs'!$I$24,'Fixed costs'!$J$24,'Fixed costs'!$K$24)</f>
        <v>355.32145</v>
      </c>
      <c r="G28" s="37" t="n">
        <f aca="false">CHOOSE(G6,'Fixed costs'!$I$24,'Fixed costs'!$J$24,'Fixed costs'!$K$24)</f>
        <v>355.32145</v>
      </c>
      <c r="H28" s="37" t="n">
        <f aca="false">CHOOSE(H6,'Fixed costs'!$I$24,'Fixed costs'!$J$24,'Fixed costs'!$K$24)</f>
        <v>736.5767</v>
      </c>
      <c r="I28" s="37" t="n">
        <f aca="false">CHOOSE(I6,'Fixed costs'!$I$24,'Fixed costs'!$J$24,'Fixed costs'!$K$24)</f>
        <v>736.5767</v>
      </c>
    </row>
    <row r="29" customFormat="false" ht="15" hidden="false" customHeight="false" outlineLevel="0" collapsed="false">
      <c r="A29" s="8" t="s">
        <v>568</v>
      </c>
      <c r="B29" s="45" t="n">
        <f aca="false">B26+B27+B28</f>
        <v>237.561452</v>
      </c>
      <c r="C29" s="45" t="n">
        <f aca="false">C26+C27+C28</f>
        <v>256.53716</v>
      </c>
      <c r="D29" s="45" t="n">
        <f aca="false">D26+D27+D28</f>
        <v>280.12172</v>
      </c>
      <c r="E29" s="45" t="n">
        <f aca="false">E26+E27+E28</f>
        <v>474.0547</v>
      </c>
      <c r="F29" s="45" t="n">
        <f aca="false">F26+F27+F28</f>
        <v>592.5178</v>
      </c>
      <c r="G29" s="45" t="n">
        <f aca="false">G26+G27+G28</f>
        <v>829.71415</v>
      </c>
      <c r="H29" s="45" t="n">
        <f aca="false">H26+H27+H28</f>
        <v>1922.55845</v>
      </c>
      <c r="I29" s="45" t="n">
        <f aca="false">I26+I27+I28</f>
        <v>3108.5402</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569</v>
      </c>
      <c r="B31" s="14"/>
      <c r="C31" s="14"/>
      <c r="D31" s="14"/>
      <c r="E31" s="14"/>
      <c r="F31" s="14"/>
      <c r="G31" s="14"/>
      <c r="H31" s="14"/>
      <c r="I31" s="14"/>
    </row>
    <row r="32" customFormat="false" ht="15" hidden="false" customHeight="false" outlineLevel="0" collapsed="false">
      <c r="A32" s="8" t="s">
        <v>570</v>
      </c>
      <c r="B32" s="43" t="n">
        <f aca="false">B18-B29</f>
        <v>-214.289645627666</v>
      </c>
      <c r="C32" s="43" t="n">
        <f aca="false">C18-C29</f>
        <v>-143.392400691438</v>
      </c>
      <c r="D32" s="43" t="n">
        <f aca="false">D18-D29</f>
        <v>-56.9092215371157</v>
      </c>
      <c r="E32" s="43" t="n">
        <f aca="false">E18-E29</f>
        <v>82.5752884789591</v>
      </c>
      <c r="F32" s="43" t="n">
        <f aca="false">F18-F29</f>
        <v>520.60492455905</v>
      </c>
      <c r="G32" s="43" t="n">
        <f aca="false">G18-G29</f>
        <v>1231.17396396603</v>
      </c>
      <c r="H32" s="43" t="n">
        <f aca="false">H18-H29</f>
        <v>3231.13171879277</v>
      </c>
      <c r="I32" s="43" t="n">
        <f aca="false">I18-I29</f>
        <v>7195.90036983016</v>
      </c>
    </row>
    <row r="33" customFormat="false" ht="15" hidden="false" customHeight="false" outlineLevel="0" collapsed="false">
      <c r="A33" s="6" t="s">
        <v>571</v>
      </c>
      <c r="B33" s="37" t="n">
        <f aca="false">MAX(0,B32)*12</f>
        <v>0</v>
      </c>
      <c r="C33" s="37" t="n">
        <f aca="false">MAX(0,C32)*12</f>
        <v>0</v>
      </c>
      <c r="D33" s="37" t="n">
        <f aca="false">MAX(0,D32)*12</f>
        <v>0</v>
      </c>
      <c r="E33" s="37" t="n">
        <f aca="false">MAX(0,E32)*12</f>
        <v>990.903461747509</v>
      </c>
      <c r="F33" s="37" t="n">
        <f aca="false">MAX(0,F32)*12</f>
        <v>6247.2590947086</v>
      </c>
      <c r="G33" s="37" t="n">
        <f aca="false">MAX(0,G32)*12</f>
        <v>14774.0875675924</v>
      </c>
      <c r="H33" s="37" t="n">
        <f aca="false">MAX(0,H32)*12</f>
        <v>38773.5806255132</v>
      </c>
      <c r="I33" s="37" t="n">
        <f aca="false">MAX(0,I32)*12</f>
        <v>86350.804437962</v>
      </c>
    </row>
    <row r="34" customFormat="false" ht="15" hidden="false" customHeight="false" outlineLevel="0" collapsed="false">
      <c r="A34" s="6" t="s">
        <v>572</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103.987062613037</v>
      </c>
      <c r="H34" s="37" t="n">
        <f aca="false">IF(H33&lt;=Assumptions!$B$41,0,IF(H33&lt;Assumptions!$B$42,Assumptions!$B$43*(H33-Assumptions!$B$41),MAX(4*Assumptions!$B$44,Assumptions!$B$43*H33)))/12</f>
        <v>662.382002352517</v>
      </c>
      <c r="I34" s="37" t="n">
        <f aca="false">IF(I33&lt;=Assumptions!$B$41,0,IF(I33&lt;Assumptions!$B$42,Assumptions!$B$43*(I33-Assumptions!$B$41),MAX(4*Assumptions!$B$44,Assumptions!$B$43*I33)))/12</f>
        <v>1475.15957581518</v>
      </c>
    </row>
    <row r="35" customFormat="false" ht="15" hidden="false" customHeight="false" outlineLevel="0" collapsed="false">
      <c r="A35" s="8" t="s">
        <v>573</v>
      </c>
      <c r="B35" s="43" t="n">
        <f aca="false">B32-B34</f>
        <v>-214.289645627666</v>
      </c>
      <c r="C35" s="43" t="n">
        <f aca="false">C32-C34</f>
        <v>-143.392400691438</v>
      </c>
      <c r="D35" s="43" t="n">
        <f aca="false">D32-D34</f>
        <v>-56.9092215371157</v>
      </c>
      <c r="E35" s="43" t="n">
        <f aca="false">E32-E34</f>
        <v>82.5752884789591</v>
      </c>
      <c r="F35" s="43" t="n">
        <f aca="false">F32-F34</f>
        <v>520.60492455905</v>
      </c>
      <c r="G35" s="43" t="n">
        <f aca="false">G32-G34</f>
        <v>1127.186901353</v>
      </c>
      <c r="H35" s="43" t="n">
        <f aca="false">H32-H34</f>
        <v>2568.74971644025</v>
      </c>
      <c r="I35" s="43" t="n">
        <f aca="false">I32-I34</f>
        <v>5720.74079401498</v>
      </c>
    </row>
    <row r="36" customFormat="false" ht="15" hidden="false" customHeight="false" outlineLevel="0" collapsed="false">
      <c r="A36" s="6" t="s">
        <v>574</v>
      </c>
      <c r="B36" s="37" t="n">
        <f aca="false">B35*12</f>
        <v>-2571.47574753199</v>
      </c>
      <c r="C36" s="37" t="n">
        <f aca="false">C35*12</f>
        <v>-1720.70880829725</v>
      </c>
      <c r="D36" s="37" t="n">
        <f aca="false">D35*12</f>
        <v>-682.910658445389</v>
      </c>
      <c r="E36" s="37" t="n">
        <f aca="false">E35*12</f>
        <v>990.903461747509</v>
      </c>
      <c r="F36" s="37" t="n">
        <f aca="false">F35*12</f>
        <v>6247.2590947086</v>
      </c>
      <c r="G36" s="37" t="n">
        <f aca="false">G35*12</f>
        <v>13526.242816236</v>
      </c>
      <c r="H36" s="37" t="n">
        <f aca="false">H35*12</f>
        <v>30824.996597283</v>
      </c>
      <c r="I36" s="37" t="n">
        <f aca="false">I35*12</f>
        <v>68648.8895281798</v>
      </c>
    </row>
    <row r="37" customFormat="false" ht="15" hidden="false" customHeight="false" outlineLevel="0" collapsed="false">
      <c r="A37" s="6" t="s">
        <v>575</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576</v>
      </c>
      <c r="B39" s="14"/>
      <c r="C39" s="14"/>
      <c r="D39" s="14"/>
      <c r="E39" s="14"/>
      <c r="F39" s="14"/>
      <c r="G39" s="14"/>
      <c r="H39" s="14"/>
      <c r="I39" s="14"/>
    </row>
    <row r="40" customFormat="false" ht="15" hidden="false" customHeight="false" outlineLevel="0" collapsed="false">
      <c r="A40" s="6" t="s">
        <v>577</v>
      </c>
      <c r="B40" s="37" t="n">
        <f aca="false">IF(B5=0,0,B29/B5)</f>
        <v>2.37561452</v>
      </c>
      <c r="C40" s="37" t="n">
        <f aca="false">IF(C5=0,0,C29/C5)</f>
        <v>0.51307432</v>
      </c>
      <c r="D40" s="37" t="n">
        <f aca="false">IF(D5=0,0,D29/D5)</f>
        <v>0.28012172</v>
      </c>
      <c r="E40" s="37" t="n">
        <f aca="false">IF(E5=0,0,E29/E5)</f>
        <v>0.18962188</v>
      </c>
      <c r="F40" s="37" t="n">
        <f aca="false">IF(F5=0,0,F29/F5)</f>
        <v>0.11850356</v>
      </c>
      <c r="G40" s="37" t="n">
        <f aca="false">IF(G5=0,0,G29/G5)</f>
        <v>0.082971415</v>
      </c>
      <c r="H40" s="37" t="n">
        <f aca="false">IF(H5=0,0,H29/H5)</f>
        <v>0.076902338</v>
      </c>
      <c r="I40" s="37" t="n">
        <f aca="false">IF(I5=0,0,I29/I5)</f>
        <v>0.062170804</v>
      </c>
    </row>
    <row r="41" customFormat="false" ht="15" hidden="false" customHeight="false" outlineLevel="0" collapsed="false">
      <c r="A41" s="6" t="s">
        <v>578</v>
      </c>
      <c r="B41" s="37" t="n">
        <f aca="false">IF(B10=0,0,B29/B10)</f>
        <v>39.5935753333333</v>
      </c>
      <c r="C41" s="37" t="n">
        <f aca="false">IF(C10=0,0,C29/C10)</f>
        <v>9.16204142857143</v>
      </c>
      <c r="D41" s="37" t="n">
        <f aca="false">IF(D10=0,0,D29/D10)</f>
        <v>5.09312218181818</v>
      </c>
      <c r="E41" s="37" t="n">
        <f aca="false">IF(E10=0,0,E29/E10)</f>
        <v>3.43517898550725</v>
      </c>
      <c r="F41" s="37" t="n">
        <f aca="false">IF(F10=0,0,F29/F10)</f>
        <v>2.15461018181818</v>
      </c>
      <c r="G41" s="37" t="n">
        <f aca="false">IF(G10=0,0,G29/G10)</f>
        <v>1.50857118181818</v>
      </c>
      <c r="H41" s="37" t="n">
        <f aca="false">IF(H10=0,0,H29/H10)</f>
        <v>1.39822432727273</v>
      </c>
      <c r="I41" s="37" t="n">
        <f aca="false">IF(I10=0,0,I29/I10)</f>
        <v>1.13037825454545</v>
      </c>
    </row>
    <row r="42" customFormat="false" ht="15" hidden="false" customHeight="false" outlineLevel="0" collapsed="false">
      <c r="A42" s="6" t="s">
        <v>579</v>
      </c>
      <c r="B42" s="37" t="n">
        <f aca="false">IF(B10=0,0,B18/B10)</f>
        <v>3.87863439538904</v>
      </c>
      <c r="C42" s="37" t="n">
        <f aca="false">IF(C10=0,0,C18/C10)</f>
        <v>4.04088426102008</v>
      </c>
      <c r="D42" s="37" t="n">
        <f aca="false">IF(D10=0,0,D18/D10)</f>
        <v>4.05840906296153</v>
      </c>
      <c r="E42" s="37" t="n">
        <f aca="false">IF(E10=0,0,E18/E10)</f>
        <v>4.03355064115188</v>
      </c>
      <c r="F42" s="37" t="n">
        <f aca="false">IF(F10=0,0,F18/F10)</f>
        <v>4.04771899839654</v>
      </c>
      <c r="G42" s="37" t="n">
        <f aca="false">IF(G10=0,0,G18/G10)</f>
        <v>3.74706929812006</v>
      </c>
      <c r="H42" s="37" t="n">
        <f aca="false">IF(H10=0,0,H18/H10)</f>
        <v>3.74813830457656</v>
      </c>
      <c r="I42" s="37" t="n">
        <f aca="false">IF(I10=0,0,I18/I10)</f>
        <v>3.74706929812006</v>
      </c>
    </row>
    <row r="43" customFormat="false" ht="15" hidden="false" customHeight="false" outlineLevel="0" collapsed="false">
      <c r="A43" s="6" t="s">
        <v>580</v>
      </c>
      <c r="B43" s="37" t="n">
        <f aca="false">'Unit economics'!$C$29</f>
        <v>0.030812</v>
      </c>
      <c r="C43" s="37" t="n">
        <f aca="false">'Unit economics'!$C$29</f>
        <v>0.030812</v>
      </c>
      <c r="D43" s="37" t="n">
        <f aca="false">'Unit economics'!$C$29</f>
        <v>0.030812</v>
      </c>
      <c r="E43" s="37" t="n">
        <f aca="false">'Unit economics'!$C$29</f>
        <v>0.030812</v>
      </c>
      <c r="F43" s="37" t="n">
        <f aca="false">'Unit economics'!$C$29</f>
        <v>0.030812</v>
      </c>
      <c r="G43" s="37" t="n">
        <f aca="false">'Unit economics'!$C$29</f>
        <v>0.030812</v>
      </c>
      <c r="H43" s="37" t="n">
        <f aca="false">'Unit economics'!$C$29</f>
        <v>0.030812</v>
      </c>
      <c r="I43" s="37" t="n">
        <f aca="false">'Unit economics'!$C$29</f>
        <v>0.030812</v>
      </c>
    </row>
    <row r="44" customFormat="false" ht="15" hidden="false" customHeight="false" outlineLevel="0" collapsed="false">
      <c r="A44" s="6" t="s">
        <v>581</v>
      </c>
      <c r="B44" s="18" t="n">
        <f aca="false">IF(B18=0,0,B32/B18)</f>
        <v>-9.20812257541019</v>
      </c>
      <c r="C44" s="18" t="n">
        <f aca="false">IF(C18=0,0,C32/C18)</f>
        <v>-1.26733577027978</v>
      </c>
      <c r="D44" s="18" t="n">
        <f aca="false">IF(D18=0,0,D32/D18)</f>
        <v>-0.254955353884803</v>
      </c>
      <c r="E44" s="18" t="n">
        <f aca="false">IF(E18=0,0,E32/E18)</f>
        <v>0.148348616114995</v>
      </c>
      <c r="F44" s="18" t="n">
        <f aca="false">IF(F18=0,0,F32/F18)</f>
        <v>0.467697687840558</v>
      </c>
      <c r="G44" s="18" t="n">
        <f aca="false">IF(G18=0,0,G32/G18)</f>
        <v>0.597399711135568</v>
      </c>
      <c r="H44" s="18" t="n">
        <f aca="false">IF(H18=0,0,H32/H18)</f>
        <v>0.626954980405748</v>
      </c>
      <c r="I44" s="18" t="n">
        <f aca="false">IF(I18=0,0,I32/I18)</f>
        <v>0.698330037527575</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582</v>
      </c>
      <c r="B46" s="14"/>
      <c r="C46" s="14"/>
      <c r="D46" s="14"/>
      <c r="E46" s="14"/>
      <c r="F46" s="14"/>
      <c r="G46" s="14"/>
      <c r="H46" s="14"/>
      <c r="I46" s="14"/>
    </row>
    <row r="47" customFormat="false" ht="15" hidden="false" customHeight="false" outlineLevel="0" collapsed="false">
      <c r="A47" s="6" t="s">
        <v>583</v>
      </c>
      <c r="B47" s="37" t="n">
        <f aca="false">B8*'Unit economics'!$Q$11+B9*'Unit economics'!$Q$12</f>
        <v>15.609</v>
      </c>
      <c r="C47" s="37" t="n">
        <f aca="false">C8*'Unit economics'!$Q$11+C9*'Unit economics'!$Q$12</f>
        <v>73.05012</v>
      </c>
      <c r="D47" s="37" t="n">
        <f aca="false">D8*'Unit economics'!$Q$11+D9*'Unit economics'!$Q$12</f>
        <v>143.6028</v>
      </c>
      <c r="E47" s="37" t="n">
        <f aca="false">E8*'Unit economics'!$Q$11+E9*'Unit economics'!$Q$12</f>
        <v>360.25572</v>
      </c>
      <c r="F47" s="37" t="n">
        <f aca="false">F8*'Unit economics'!$Q$11+F9*'Unit economics'!$Q$12</f>
        <v>718.014</v>
      </c>
      <c r="G47" s="37" t="n">
        <f aca="false">G8*'Unit economics'!$Q$11+G9*'Unit economics'!$Q$12</f>
        <v>1436.028</v>
      </c>
      <c r="H47" s="37" t="n">
        <f aca="false">H8*'Unit economics'!$Q$11+H9*'Unit economics'!$Q$12</f>
        <v>3590.07</v>
      </c>
      <c r="I47" s="37" t="n">
        <f aca="false">I8*'Unit economics'!$Q$11+I9*'Unit economics'!$Q$12</f>
        <v>7180.14</v>
      </c>
    </row>
    <row r="48" customFormat="false" ht="15" hidden="false" customHeight="false" outlineLevel="0" collapsed="false">
      <c r="A48" s="6" t="s">
        <v>584</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585</v>
      </c>
      <c r="B49" s="43" t="n">
        <f aca="false">B18-(B47+B48+B27+B28)</f>
        <v>-255.424563627666</v>
      </c>
      <c r="C49" s="43" t="n">
        <f aca="false">C18-(C47+C48+C27+C28)</f>
        <v>-345.216770691438</v>
      </c>
      <c r="D49" s="43" t="n">
        <f aca="false">D18-(D47+D48+D27+D28)</f>
        <v>-458.632851537116</v>
      </c>
      <c r="E49" s="43" t="n">
        <f aca="false">E18-(E47+E48+E27+E28)</f>
        <v>-922.696341521041</v>
      </c>
      <c r="F49" s="43" t="n">
        <f aca="false">F18-(F47+F48+F27+F28)</f>
        <v>-1488.01322544095</v>
      </c>
      <c r="G49" s="43" t="n">
        <f aca="false">G18-(G47+G48+G27+G28)</f>
        <v>-2786.06233603397</v>
      </c>
      <c r="H49" s="43" t="n">
        <f aca="false">H18-(H47+H48+H27+H28)</f>
        <v>-6811.95903120723</v>
      </c>
      <c r="I49" s="43" t="n">
        <f aca="false">I18-(I47+I48+I27+I28)</f>
        <v>-12890.2811301698</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586</v>
      </c>
      <c r="B51" s="40"/>
      <c r="C51" s="40"/>
      <c r="D51" s="40"/>
      <c r="E51" s="40"/>
      <c r="F51" s="40"/>
      <c r="G51" s="40"/>
      <c r="H51" s="40"/>
      <c r="I51" s="40"/>
    </row>
    <row r="52" customFormat="false" ht="31.5" hidden="false" customHeight="true" outlineLevel="0" collapsed="false">
      <c r="A52" s="40" t="s">
        <v>587</v>
      </c>
      <c r="B52" s="40"/>
      <c r="C52" s="40"/>
      <c r="D52" s="40"/>
      <c r="E52" s="40"/>
      <c r="F52" s="40"/>
      <c r="G52" s="40"/>
      <c r="H52" s="40"/>
      <c r="I52" s="40"/>
    </row>
    <row r="53" customFormat="false" ht="31.5" hidden="false" customHeight="true" outlineLevel="0" collapsed="false">
      <c r="A53" s="40" t="s">
        <v>588</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589</v>
      </c>
      <c r="B1" s="70"/>
      <c r="C1" s="70"/>
      <c r="D1" s="70"/>
      <c r="E1" s="70"/>
      <c r="F1" s="70"/>
    </row>
    <row r="2" customFormat="false" ht="15" hidden="false" customHeight="false" outlineLevel="0" collapsed="false">
      <c r="A2" s="44" t="s">
        <v>590</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591</v>
      </c>
      <c r="B4" s="20" t="s">
        <v>592</v>
      </c>
      <c r="C4" s="20" t="s">
        <v>189</v>
      </c>
      <c r="D4" s="20" t="s">
        <v>192</v>
      </c>
      <c r="E4" s="20" t="s">
        <v>593</v>
      </c>
      <c r="F4" s="20" t="s">
        <v>594</v>
      </c>
    </row>
    <row r="5" customFormat="false" ht="55.5" hidden="false" customHeight="true" outlineLevel="0" collapsed="false">
      <c r="A5" s="71" t="s">
        <v>595</v>
      </c>
      <c r="B5" s="22" t="s">
        <v>596</v>
      </c>
      <c r="C5" s="22" t="s">
        <v>597</v>
      </c>
      <c r="D5" s="22" t="s">
        <v>598</v>
      </c>
      <c r="E5" s="22" t="s">
        <v>599</v>
      </c>
      <c r="F5" s="22" t="s">
        <v>600</v>
      </c>
    </row>
    <row r="6" customFormat="false" ht="55.5" hidden="false" customHeight="true" outlineLevel="0" collapsed="false">
      <c r="A6" s="71" t="s">
        <v>601</v>
      </c>
      <c r="B6" s="22" t="s">
        <v>602</v>
      </c>
      <c r="C6" s="22" t="s">
        <v>603</v>
      </c>
      <c r="D6" s="22" t="s">
        <v>604</v>
      </c>
      <c r="E6" s="22" t="s">
        <v>605</v>
      </c>
      <c r="F6" s="22" t="s">
        <v>606</v>
      </c>
    </row>
    <row r="7" customFormat="false" ht="55.5" hidden="false" customHeight="true" outlineLevel="0" collapsed="false">
      <c r="A7" s="71" t="s">
        <v>607</v>
      </c>
      <c r="B7" s="22" t="s">
        <v>608</v>
      </c>
      <c r="C7" s="22" t="s">
        <v>609</v>
      </c>
      <c r="D7" s="22" t="s">
        <v>610</v>
      </c>
      <c r="E7" s="22" t="s">
        <v>611</v>
      </c>
      <c r="F7" s="22" t="s">
        <v>612</v>
      </c>
    </row>
    <row r="8" customFormat="false" ht="55.5" hidden="false" customHeight="true" outlineLevel="0" collapsed="false">
      <c r="A8" s="71" t="s">
        <v>613</v>
      </c>
      <c r="B8" s="22" t="s">
        <v>614</v>
      </c>
      <c r="C8" s="22" t="s">
        <v>615</v>
      </c>
      <c r="D8" s="22" t="s">
        <v>210</v>
      </c>
      <c r="E8" s="22" t="s">
        <v>616</v>
      </c>
      <c r="F8" s="22" t="s">
        <v>617</v>
      </c>
    </row>
    <row r="9" customFormat="false" ht="55.5" hidden="false" customHeight="true" outlineLevel="0" collapsed="false">
      <c r="A9" s="71" t="s">
        <v>618</v>
      </c>
      <c r="B9" s="22" t="s">
        <v>619</v>
      </c>
      <c r="C9" s="22" t="s">
        <v>592</v>
      </c>
      <c r="D9" s="22" t="s">
        <v>592</v>
      </c>
      <c r="E9" s="22" t="s">
        <v>620</v>
      </c>
      <c r="F9" s="22" t="s">
        <v>617</v>
      </c>
    </row>
    <row r="10" customFormat="false" ht="55.5" hidden="false" customHeight="true" outlineLevel="0" collapsed="false">
      <c r="A10" s="71" t="s">
        <v>621</v>
      </c>
      <c r="B10" s="22" t="s">
        <v>622</v>
      </c>
      <c r="C10" s="22" t="s">
        <v>615</v>
      </c>
      <c r="D10" s="22" t="s">
        <v>623</v>
      </c>
      <c r="E10" s="22" t="s">
        <v>624</v>
      </c>
      <c r="F10" s="22" t="s">
        <v>617</v>
      </c>
    </row>
    <row r="11" customFormat="false" ht="55.5" hidden="false" customHeight="true" outlineLevel="0" collapsed="false">
      <c r="A11" s="71" t="s">
        <v>625</v>
      </c>
      <c r="B11" s="22" t="s">
        <v>619</v>
      </c>
      <c r="C11" s="22" t="s">
        <v>619</v>
      </c>
      <c r="D11" s="22" t="s">
        <v>623</v>
      </c>
      <c r="E11" s="22" t="s">
        <v>626</v>
      </c>
      <c r="F11" s="22" t="s">
        <v>627</v>
      </c>
    </row>
    <row r="12" customFormat="false" ht="55.5" hidden="false" customHeight="true" outlineLevel="0" collapsed="false">
      <c r="A12" s="71" t="s">
        <v>628</v>
      </c>
      <c r="B12" s="22" t="s">
        <v>629</v>
      </c>
      <c r="C12" s="22" t="s">
        <v>615</v>
      </c>
      <c r="D12" s="22" t="s">
        <v>623</v>
      </c>
      <c r="E12" s="22" t="s">
        <v>630</v>
      </c>
      <c r="F12" s="22" t="s">
        <v>631</v>
      </c>
    </row>
    <row r="13" customFormat="false" ht="55.5" hidden="false" customHeight="true" outlineLevel="0" collapsed="false">
      <c r="A13" s="71" t="s">
        <v>632</v>
      </c>
      <c r="B13" s="22" t="s">
        <v>283</v>
      </c>
      <c r="C13" s="22" t="s">
        <v>283</v>
      </c>
      <c r="D13" s="22" t="s">
        <v>623</v>
      </c>
      <c r="E13" s="22" t="s">
        <v>633</v>
      </c>
      <c r="F13" s="22" t="s">
        <v>634</v>
      </c>
    </row>
    <row r="14" customFormat="false" ht="55.5" hidden="false" customHeight="true" outlineLevel="0" collapsed="false">
      <c r="A14" s="71" t="s">
        <v>635</v>
      </c>
      <c r="B14" s="22" t="s">
        <v>636</v>
      </c>
      <c r="C14" s="22" t="s">
        <v>615</v>
      </c>
      <c r="D14" s="22" t="s">
        <v>623</v>
      </c>
      <c r="E14" s="22" t="s">
        <v>637</v>
      </c>
      <c r="F14" s="22" t="s">
        <v>638</v>
      </c>
    </row>
    <row r="15" customFormat="false" ht="55.5" hidden="false" customHeight="true" outlineLevel="0" collapsed="false">
      <c r="A15" s="71" t="s">
        <v>639</v>
      </c>
      <c r="B15" s="22" t="s">
        <v>640</v>
      </c>
      <c r="C15" s="22" t="s">
        <v>640</v>
      </c>
      <c r="D15" s="22" t="s">
        <v>641</v>
      </c>
      <c r="E15" s="22" t="s">
        <v>642</v>
      </c>
      <c r="F15" s="22" t="s">
        <v>643</v>
      </c>
    </row>
    <row r="16" customFormat="false" ht="55.5" hidden="false" customHeight="true" outlineLevel="0" collapsed="false">
      <c r="A16" s="71" t="s">
        <v>644</v>
      </c>
      <c r="B16" s="22" t="s">
        <v>645</v>
      </c>
      <c r="C16" s="22" t="s">
        <v>615</v>
      </c>
      <c r="D16" s="22" t="s">
        <v>646</v>
      </c>
      <c r="E16" s="22" t="s">
        <v>633</v>
      </c>
      <c r="F16" s="22" t="s">
        <v>647</v>
      </c>
    </row>
    <row r="17" customFormat="false" ht="55.5" hidden="false" customHeight="true" outlineLevel="0" collapsed="false">
      <c r="A17" s="71" t="s">
        <v>648</v>
      </c>
      <c r="B17" s="22" t="s">
        <v>649</v>
      </c>
      <c r="C17" s="22" t="s">
        <v>615</v>
      </c>
      <c r="D17" s="22" t="s">
        <v>646</v>
      </c>
      <c r="E17" s="22" t="s">
        <v>633</v>
      </c>
      <c r="F17" s="22" t="s">
        <v>650</v>
      </c>
    </row>
    <row r="18" customFormat="false" ht="55.5" hidden="false" customHeight="true" outlineLevel="0" collapsed="false">
      <c r="A18" s="71" t="s">
        <v>651</v>
      </c>
      <c r="B18" s="22" t="s">
        <v>652</v>
      </c>
      <c r="C18" s="22" t="s">
        <v>653</v>
      </c>
      <c r="D18" s="22" t="s">
        <v>654</v>
      </c>
      <c r="E18" s="22" t="s">
        <v>655</v>
      </c>
      <c r="F18" s="22" t="s">
        <v>656</v>
      </c>
    </row>
    <row r="19" customFormat="false" ht="55.5" hidden="false" customHeight="true" outlineLevel="0" collapsed="false">
      <c r="A19" s="71" t="s">
        <v>657</v>
      </c>
      <c r="B19" s="22" t="s">
        <v>658</v>
      </c>
      <c r="C19" s="22" t="s">
        <v>659</v>
      </c>
      <c r="D19" s="22" t="s">
        <v>660</v>
      </c>
      <c r="E19" s="22" t="s">
        <v>661</v>
      </c>
      <c r="F19" s="22"/>
    </row>
    <row r="20" customFormat="false" ht="55.5" hidden="false" customHeight="true" outlineLevel="0" collapsed="false">
      <c r="A20" s="71" t="s">
        <v>662</v>
      </c>
      <c r="B20" s="22" t="s">
        <v>663</v>
      </c>
      <c r="C20" s="22" t="s">
        <v>664</v>
      </c>
      <c r="D20" s="22" t="s">
        <v>665</v>
      </c>
      <c r="E20" s="22" t="s">
        <v>666</v>
      </c>
      <c r="F20" s="22" t="s">
        <v>667</v>
      </c>
    </row>
    <row r="21" customFormat="false" ht="55.5" hidden="false" customHeight="true" outlineLevel="0" collapsed="false">
      <c r="A21" s="71" t="s">
        <v>668</v>
      </c>
      <c r="B21" s="22" t="s">
        <v>669</v>
      </c>
      <c r="C21" s="22" t="s">
        <v>670</v>
      </c>
      <c r="D21" s="22" t="s">
        <v>671</v>
      </c>
      <c r="E21" s="22" t="s">
        <v>672</v>
      </c>
      <c r="F21" s="22" t="s">
        <v>673</v>
      </c>
    </row>
    <row r="22" customFormat="false" ht="55.5" hidden="false" customHeight="true" outlineLevel="0" collapsed="false">
      <c r="A22" s="71" t="s">
        <v>674</v>
      </c>
      <c r="B22" s="22" t="s">
        <v>675</v>
      </c>
      <c r="C22" s="22" t="s">
        <v>675</v>
      </c>
      <c r="D22" s="22" t="s">
        <v>676</v>
      </c>
      <c r="E22" s="22" t="s">
        <v>633</v>
      </c>
      <c r="F22" s="22" t="s">
        <v>677</v>
      </c>
    </row>
    <row r="23" customFormat="false" ht="55.5" hidden="false" customHeight="true" outlineLevel="0" collapsed="false">
      <c r="A23" s="71" t="s">
        <v>678</v>
      </c>
      <c r="B23" s="22" t="s">
        <v>210</v>
      </c>
      <c r="C23" s="22" t="s">
        <v>679</v>
      </c>
      <c r="D23" s="22" t="s">
        <v>679</v>
      </c>
      <c r="E23" s="22" t="s">
        <v>210</v>
      </c>
      <c r="F23" s="22" t="s">
        <v>617</v>
      </c>
    </row>
    <row r="24" customFormat="false" ht="55.5" hidden="false" customHeight="true" outlineLevel="0" collapsed="false">
      <c r="A24" s="71" t="s">
        <v>680</v>
      </c>
      <c r="B24" s="22" t="s">
        <v>210</v>
      </c>
      <c r="C24" s="22" t="s">
        <v>681</v>
      </c>
      <c r="D24" s="22" t="s">
        <v>681</v>
      </c>
      <c r="E24" s="22" t="s">
        <v>210</v>
      </c>
      <c r="F24" s="22" t="s">
        <v>682</v>
      </c>
    </row>
    <row r="25" customFormat="false" ht="55.5" hidden="false" customHeight="true" outlineLevel="0" collapsed="false">
      <c r="A25" s="71" t="s">
        <v>683</v>
      </c>
      <c r="B25" s="22" t="s">
        <v>210</v>
      </c>
      <c r="C25" s="22" t="s">
        <v>684</v>
      </c>
      <c r="D25" s="22" t="s">
        <v>684</v>
      </c>
      <c r="E25" s="22" t="s">
        <v>633</v>
      </c>
      <c r="F25" s="22" t="s">
        <v>685</v>
      </c>
    </row>
    <row r="26" customFormat="false" ht="55.5" hidden="false" customHeight="true" outlineLevel="0" collapsed="false">
      <c r="A26" s="71" t="s">
        <v>686</v>
      </c>
      <c r="B26" s="22" t="s">
        <v>210</v>
      </c>
      <c r="C26" s="22" t="s">
        <v>687</v>
      </c>
      <c r="D26" s="22" t="s">
        <v>688</v>
      </c>
      <c r="E26" s="22" t="s">
        <v>633</v>
      </c>
      <c r="F26" s="22" t="s">
        <v>689</v>
      </c>
    </row>
    <row r="27" customFormat="false" ht="55.5" hidden="false" customHeight="true" outlineLevel="0" collapsed="false">
      <c r="A27" s="71" t="s">
        <v>690</v>
      </c>
      <c r="B27" s="22" t="s">
        <v>210</v>
      </c>
      <c r="C27" s="22" t="s">
        <v>691</v>
      </c>
      <c r="D27" s="22" t="s">
        <v>692</v>
      </c>
      <c r="E27" s="22" t="s">
        <v>693</v>
      </c>
      <c r="F27" s="22" t="s">
        <v>617</v>
      </c>
    </row>
    <row r="28" customFormat="false" ht="55.5" hidden="false" customHeight="true" outlineLevel="0" collapsed="false">
      <c r="A28" s="71" t="s">
        <v>694</v>
      </c>
      <c r="B28" s="22" t="s">
        <v>210</v>
      </c>
      <c r="C28" s="22" t="s">
        <v>695</v>
      </c>
      <c r="D28" s="22" t="s">
        <v>695</v>
      </c>
      <c r="E28" s="22" t="s">
        <v>633</v>
      </c>
      <c r="F28" s="22" t="s">
        <v>617</v>
      </c>
    </row>
    <row r="29" customFormat="false" ht="15" hidden="false" customHeight="false" outlineLevel="0" collapsed="false">
      <c r="A29" s="70"/>
      <c r="B29" s="70"/>
      <c r="C29" s="70"/>
      <c r="D29" s="70"/>
      <c r="E29" s="70"/>
      <c r="F29" s="70"/>
    </row>
    <row r="30" customFormat="false" ht="15" hidden="false" customHeight="false" outlineLevel="0" collapsed="false">
      <c r="A30" s="14" t="s">
        <v>696</v>
      </c>
      <c r="B30" s="14"/>
      <c r="C30" s="14"/>
      <c r="D30" s="14"/>
      <c r="E30" s="14"/>
      <c r="F30" s="14"/>
    </row>
    <row r="31" customFormat="false" ht="31.5" hidden="false" customHeight="true" outlineLevel="0" collapsed="false">
      <c r="A31" s="6" t="n">
        <v>1</v>
      </c>
      <c r="B31" s="40" t="s">
        <v>697</v>
      </c>
      <c r="C31" s="40"/>
      <c r="D31" s="40"/>
      <c r="E31" s="40"/>
      <c r="F31" s="40"/>
    </row>
    <row r="32" customFormat="false" ht="31.5" hidden="false" customHeight="true" outlineLevel="0" collapsed="false">
      <c r="A32" s="6" t="n">
        <v>2</v>
      </c>
      <c r="B32" s="40" t="s">
        <v>698</v>
      </c>
      <c r="C32" s="40"/>
      <c r="D32" s="40"/>
      <c r="E32" s="40"/>
      <c r="F32" s="40"/>
    </row>
    <row r="33" customFormat="false" ht="31.5" hidden="false" customHeight="true" outlineLevel="0" collapsed="false">
      <c r="A33" s="6" t="n">
        <v>3</v>
      </c>
      <c r="B33" s="40" t="s">
        <v>699</v>
      </c>
      <c r="C33" s="40"/>
      <c r="D33" s="40"/>
      <c r="E33" s="40"/>
      <c r="F33" s="40"/>
    </row>
    <row r="34" customFormat="false" ht="31.5" hidden="false" customHeight="true" outlineLevel="0" collapsed="false">
      <c r="A34" s="6" t="n">
        <v>4</v>
      </c>
      <c r="B34" s="40" t="s">
        <v>700</v>
      </c>
      <c r="C34" s="40"/>
      <c r="D34" s="40"/>
      <c r="E34" s="40"/>
      <c r="F34" s="40"/>
    </row>
    <row r="35" customFormat="false" ht="31.5" hidden="false" customHeight="true" outlineLevel="0" collapsed="false">
      <c r="A35" s="6" t="n">
        <v>5</v>
      </c>
      <c r="B35" s="40" t="s">
        <v>701</v>
      </c>
      <c r="C35" s="40"/>
      <c r="D35" s="40"/>
      <c r="E35" s="40"/>
      <c r="F35" s="40"/>
    </row>
    <row r="36" customFormat="false" ht="31.5" hidden="false" customHeight="true" outlineLevel="0" collapsed="false">
      <c r="A36" s="6" t="n">
        <v>6</v>
      </c>
      <c r="B36" s="40" t="s">
        <v>702</v>
      </c>
      <c r="C36" s="40"/>
      <c r="D36" s="40"/>
      <c r="E36" s="40"/>
      <c r="F36" s="40"/>
    </row>
    <row r="37" customFormat="false" ht="31.5" hidden="false" customHeight="true" outlineLevel="0" collapsed="false">
      <c r="A37" s="6" t="n">
        <v>7</v>
      </c>
      <c r="B37" s="40" t="s">
        <v>703</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2026-10-26T23:46:18Z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